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7012aa616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估算口径" sheetId="1" r:id="R22f0ff6ad86c494d"/>
    <x:sheet xmlns:r="http://schemas.openxmlformats.org/officeDocument/2006/relationships" name="开发预算汇总" sheetId="2" r:id="Rd0410a7dfeba4195"/>
    <x:sheet xmlns:r="http://schemas.openxmlformats.org/officeDocument/2006/relationships" name="功能开发明细" sheetId="3" r:id="Rb283af33cff24216"/>
    <x:sheet xmlns:r="http://schemas.openxmlformats.org/officeDocument/2006/relationships" name="版本上线建议" sheetId="4" r:id="R1f34f42f03544a4e"/>
    <x:sheet xmlns:r="http://schemas.openxmlformats.org/officeDocument/2006/relationships" name="调研来源" sheetId="5" r:id="R18e29a384730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¥&quot;#,##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4874CB"/>
      </x:patternFill>
    </x:fill>
    <x:fill>
      <x:patternFill patternType="solid">
        <x:fgColor rgb="FFF2CC"/>
      </x:patternFill>
    </x:fill>
    <x:fill>
      <x:patternFill patternType="solid">
        <x:fgColor rgb="EAF2F8"/>
      </x:patternFill>
    </x:fill>
    <x:fill>
      <x:patternFill patternType="solid">
        <x:fgColor rgb="FFFFFF"/>
      </x:patternFill>
    </x:fill>
    <x:fill>
      <x:patternFill patternType="solid">
        <x:fgColor rgb="F8FBFF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f88083ad64b78" /><Relationship Type="http://schemas.openxmlformats.org/officeDocument/2006/relationships/theme" Target="/xl/theme/theme1.xml" Id="R35e1bdf183e449fe" /><Relationship Type="http://schemas.openxmlformats.org/officeDocument/2006/relationships/sharedStrings" Target="/xl/sharedStrings.xml" Id="R49fe498ac57c4d32" /><Relationship Type="http://schemas.openxmlformats.org/officeDocument/2006/relationships/worksheet" Target="/xl/worksheets/sheet1.xml" Id="R22f0ff6ad86c494d" /><Relationship Type="http://schemas.openxmlformats.org/officeDocument/2006/relationships/worksheet" Target="/xl/worksheets/sheet2.xml" Id="Rd0410a7dfeba4195" /><Relationship Type="http://schemas.openxmlformats.org/officeDocument/2006/relationships/worksheet" Target="/xl/worksheets/sheet3.xml" Id="Rb283af33cff24216" /><Relationship Type="http://schemas.openxmlformats.org/officeDocument/2006/relationships/worksheet" Target="/xl/worksheets/sheet4.xml" Id="R1f34f42f03544a4e" /><Relationship Type="http://schemas.openxmlformats.org/officeDocument/2006/relationships/worksheet" Target="/xl/worksheets/sheet5.xml" Id="R18e29a38473046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9389a14e234c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V0.1/V0.2开发预算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开发总预算</c:v>
          </c:tx>
          <c:cat>
            <c:strRef>
              <c:f>'开发预算汇总'!$L$4:$L$6</c:f>
              <c:strCache>
                <c:ptCount val="0"/>
              </c:strCache>
            </c:strRef>
          </c:cat>
          <c:val>
            <c:numRef>
              <c:f>'开发预算汇总'!$M$4:$M$6</c:f>
              <c:numCache>
                <c:formatCode>"¥"#,##0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7</xdr:row>
      <xdr:rowOff>0</xdr:rowOff>
    </xdr:from>
    <xdr:to>
      <xdr:col>19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9389a14e234c5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vEstimateAssumptions" displayName="DevEstimateAssumptions" ref="A1:C9" headerRowCount="1">
  <x:tableColumns count="3">
    <x:tableColumn id="1" name="项目"/>
    <x:tableColumn id="2" name="值"/>
    <x:tableColumn id="3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DevBudgetSummary" displayName="DevBudgetSummary" ref="A3:J7" headerRowCount="1">
  <x:tableColumns count="10">
    <x:tableColumn id="1" name="上线版本"/>
    <x:tableColumn id="2" name="功能数"/>
    <x:tableColumn id="3" name="前端人工时"/>
    <x:tableColumn id="4" name="后端人工时"/>
    <x:tableColumn id="5" name="AI/数据人工时"/>
    <x:tableColumn id="6" name="联调评审人工时"/>
    <x:tableColumn id="7" name="开发总人工时"/>
    <x:tableColumn id="8" name="开发人力预算"/>
    <x:tableColumn id="9" name="开发外部费用"/>
    <x:tableColumn id="10" name="开发总预算"/>
  </x:tableColumns>
  <x:tableStyleInfo name="TableStyleMedium4" showRowStripes="1"/>
</x:table>
</file>

<file path=xl/tables/table3.xml><?xml version="1.0" encoding="utf-8"?>
<x:table xmlns:x="http://schemas.openxmlformats.org/spreadsheetml/2006/main" id="3" name="FeatureDevDetail" displayName="FeatureDevDetail" ref="A4:T19" headerRowCount="1">
  <x:tableColumns count="20">
    <x:tableColumn id="1" name="序号"/>
    <x:tableColumn id="2" name="大目录"/>
    <x:tableColumn id="3" name="项目"/>
    <x:tableColumn id="4" name="功能"/>
    <x:tableColumn id="5" name="原阶段"/>
    <x:tableColumn id="6" name="推荐优先级"/>
    <x:tableColumn id="7" name="难度"/>
    <x:tableColumn id="8" name="上线版本"/>
    <x:tableColumn id="9" name="前端人工时"/>
    <x:tableColumn id="10" name="后端人工时"/>
    <x:tableColumn id="11" name="AI/数据人工时"/>
    <x:tableColumn id="12" name="联调评审人工时"/>
    <x:tableColumn id="13" name="开发总人工时"/>
    <x:tableColumn id="14" name="开发人力预算"/>
    <x:tableColumn id="15" name="开发外部费用"/>
    <x:tableColumn id="16" name="开发总预算"/>
    <x:tableColumn id="17" name="为什么需要这些人工时"/>
    <x:tableColumn id="18" name="交付范围"/>
    <x:tableColumn id="19" name="落地性/效果平衡"/>
    <x:tableColumn id="20" name="技术路线"/>
  </x:tableColumns>
  <x:tableStyleInfo name="TableStyleMedium2" showRowStripes="1"/>
</x:table>
</file>

<file path=xl/tables/table4.xml><?xml version="1.0" encoding="utf-8"?>
<x:table xmlns:x="http://schemas.openxmlformats.org/spreadsheetml/2006/main" id="4" name="VersionLaunchAdvice" displayName="VersionLaunchAdvice" ref="A1:D5" headerRowCount="1">
  <x:tableColumns count="4">
    <x:tableColumn id="1" name="上线版本"/>
    <x:tableColumn id="2" name="建议范围"/>
    <x:tableColumn id="3" name="建议节奏"/>
    <x:tableColumn id="4" name="为什么这样排"/>
  </x:tableColumns>
  <x:tableStyleInfo name="TableStyleMedium9" showRowStripes="1"/>
</x:table>
</file>

<file path=xl/tables/table5.xml><?xml version="1.0" encoding="utf-8"?>
<x:table xmlns:x="http://schemas.openxmlformats.org/spreadsheetml/2006/main" id="5" name="ResearchSources" displayName="ResearchSources" ref="A1:D19" headerRowCount="1">
  <x:tableColumns count="4">
    <x:tableColumn id="1" name="类别"/>
    <x:tableColumn id="2" name="来源"/>
    <x:tableColumn id="3" name="链接"/>
    <x:tableColumn id="4" name="用于判断"/>
  </x:tableColumns>
  <x:tableStyleInfo name="TableStyleMedium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550169a97a4c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23ac338bda44d6e" /><Relationship Type="http://schemas.openxmlformats.org/officeDocument/2006/relationships/table" Target="/xl/tables/table2.xml" Id="R433d9a75e5a547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b80826589845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4e31da23b144c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7ad3c8d63ab4f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28.940000534057617" hidden="0" customWidth="1"/>
    <x:col min="3" max="3" width="101.62000274658203" hidden="0" customWidth="1"/>
  </x:cols>
  <x:sheetData>
    <x:row r="1" ht="22.5" customHeight="1">
      <x:c r="A1" s="5" t="str">
        <x:v>项目</x:v>
      </x:c>
      <x:c r="B1" s="5" t="str">
        <x:v>值</x:v>
      </x:c>
      <x:c r="C1" s="5" t="str">
        <x:v>说明</x:v>
      </x:c>
    </x:row>
    <x:row r="2" ht="40.5" customHeight="1">
      <x:c r="A2" s="2" t="str">
        <x:v>团队规模</x:v>
      </x:c>
      <x:c r="B2" s="2" t="str">
        <x:v>4人</x:v>
      </x:c>
      <x:c r="C2" s="2" t="str">
        <x:v>用户为 CTO，技术能力偏前端/轻后端和产品判断；复杂后端、AI链路、数据模型由主力工程师承担。</x:v>
      </x:c>
    </x:row>
    <x:row r="3" ht="40.5" customHeight="1">
      <x:c r="A3" s="2" t="str">
        <x:v>本表范围</x:v>
      </x:c>
      <x:c r="B3" s="2" t="str">
        <x:v>仅 V0.1、V0.2、跨版本基础设施</x:v>
      </x:c>
      <x:c r="C3" s="2" t="str">
        <x:v>V0.3 暂不考虑技术路线和成本，因此不纳入汇总。</x:v>
      </x:c>
    </x:row>
    <x:row r="4" ht="40.5" customHeight="1">
      <x:c r="A4" s="2" t="str">
        <x:v>测试范围</x:v>
      </x:c>
      <x:c r="B4" s="2" t="str">
        <x:v>不包含</x:v>
      </x:c>
      <x:c r="C4" s="2" t="str">
        <x:v>本表只估开发人工时和开发外部费用，不含测试、正式云资源长期费用、法务/IP授权、税费和公司管理费。</x:v>
      </x:c>
    </x:row>
    <x:row r="5" ht="40.5" customHeight="1">
      <x:c r="A5" s="2" t="str">
        <x:v>人工时定义</x:v>
      </x:c>
      <x:c r="B5" s="2" t="str">
        <x:v>1人工时 = 1个人开发1小时</x:v>
      </x:c>
      <x:c r="C5" s="2" t="str">
        <x:v>包括编码、接口设计、数据建模、联调、自测修复、代码评审修改和必要文档；不包括专门测试预算。</x:v>
      </x:c>
    </x:row>
    <x:row r="6" ht="40.5" customHeight="1">
      <x:c r="A6" s="2" t="str">
        <x:v>开发综合单价</x:v>
      </x:c>
      <x:c r="B6" s="6" t="n">
        <x:v>200</x:v>
      </x:c>
      <x:c r="C6" s="2" t="str">
        <x:v>人民币/人工时；可在此单元格调整，预算表公式会联动。</x:v>
      </x:c>
    </x:row>
    <x:row r="7" ht="40.5" customHeight="1">
      <x:c r="A7" s="2" t="str">
        <x:v>四人团队有效开发容量</x:v>
      </x:c>
      <x:c r="B7" s="2" t="str">
        <x:v>约 96-112 人工时/周</x:v>
      </x:c>
      <x:c r="C7" s="2" t="str">
        <x:v>按 4人 * 6-7有效开发小时/天 * 4工作日估算，保留会议、评审、沟通和突发问题空间。</x:v>
      </x:c>
    </x:row>
    <x:row r="8" ht="40.5" customHeight="1">
      <x:c r="A8" s="2" t="str">
        <x:v>估算原则</x:v>
      </x:c>
      <x:c r="B8" s="2" t="str">
        <x:v>可落地优先，效果不过度打折</x:v>
      </x:c>
      <x:c r="C8" s="2" t="str">
        <x:v>高风险能力采用“能体现效果的平替方案”，例如视觉辅助+人工确认、2.5D替代真实3D、规则+LLM改写。</x:v>
      </x:c>
    </x:row>
    <x:row r="9" ht="40.5" customHeight="1">
      <x:c r="A9" s="2" t="str">
        <x:v>预算币种</x:v>
      </x:c>
      <x:c r="B9" s="2" t="str">
        <x:v>人民币 CNY</x:v>
      </x:c>
      <x:c r="C9" s="2" t="str">
        <x:v>开发一次性预算；外部费用为开发期 API/素材/样例/设备等预留。</x:v>
      </x:c>
    </x:row>
  </x:sheetData>
  <x:pageMargins left="0.7" right="0.7" top="0.75" bottom="0.75" header="0.3" footer="0.3"/>
  <x:tableParts count="1">
    <x:tablePart xmlns:r="http://schemas.openxmlformats.org/officeDocument/2006/relationships" r:id="R4b550169a97a4c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8.75" hidden="0" customWidth="1"/>
    <x:col min="3" max="3" width="12.789999961853027" hidden="0" customWidth="1"/>
    <x:col min="4" max="4" width="12.789999961853027" hidden="0" customWidth="1"/>
    <x:col min="5" max="5" width="14.130000114440918" hidden="0" customWidth="1"/>
    <x:col min="6" max="6" width="15.479999542236328" hidden="0" customWidth="1"/>
    <x:col min="7" max="7" width="14.130000114440918" hidden="0" customWidth="1"/>
    <x:col min="8" max="8" width="15.479999542236328" hidden="0" customWidth="1"/>
    <x:col min="9" max="9" width="15.479999542236328" hidden="0" customWidth="1"/>
    <x:col min="10" max="10" width="15.479999542236328" hidden="0" customWidth="1"/>
  </x:cols>
  <x:sheetData>
    <x:row r="1" ht="25.5" customHeight="1">
      <x:c r="A1" s="9" t="str">
        <x:v>MIMU V0.1/V0.2 开发人工时预算汇总</x:v>
      </x:c>
    </x:row>
    <x:row r="2" ht="25.5" customHeight="1"/>
    <x:row r="3" ht="31.5" customHeight="1">
      <x:c r="A3" s="12" t="str">
        <x:v>上线版本</x:v>
      </x:c>
      <x:c r="B3" s="12" t="str">
        <x:v>功能数</x:v>
      </x:c>
      <x:c r="C3" s="12" t="str">
        <x:v>前端人工时</x:v>
      </x:c>
      <x:c r="D3" s="12" t="str">
        <x:v>后端人工时</x:v>
      </x:c>
      <x:c r="E3" s="12" t="str">
        <x:v>AI/数据人工时</x:v>
      </x:c>
      <x:c r="F3" s="12" t="str">
        <x:v>联调评审人工时</x:v>
      </x:c>
      <x:c r="G3" s="12" t="str">
        <x:v>开发总人工时</x:v>
      </x:c>
      <x:c r="H3" s="12" t="str">
        <x:v>开发人力预算</x:v>
      </x:c>
      <x:c r="I3" s="12" t="str">
        <x:v>开发外部费用</x:v>
      </x:c>
      <x:c r="J3" s="12" t="str">
        <x:v>开发总预算</x:v>
      </x:c>
      <x:c r="L3" t="str">
        <x:v>上线版本</x:v>
      </x:c>
      <x:c r="M3" t="str">
        <x:v>开发总预算</x:v>
      </x:c>
    </x:row>
    <x:row r="4" ht="31.5" customHeight="1">
      <x:c r="A4" s="2" t="str">
        <x:v>V0.1</x:v>
      </x:c>
      <x:c r="B4" s="2" t="n">
        <x:f>COUNTIF('功能开发明细'!$H$5:$H$19,A4)</x:f>
        <x:v>8</x:v>
      </x:c>
      <x:c r="C4" s="2" t="n">
        <x:f>SUMIF('功能开发明细'!$H$5:$H$19,A4,'功能开发明细'!$I$5:$I$19)</x:f>
        <x:v>208</x:v>
      </x:c>
      <x:c r="D4" s="2" t="n">
        <x:f>SUMIF('功能开发明细'!$H$5:$H$19,A4,'功能开发明细'!$J$5:$J$19)</x:f>
        <x:v>330</x:v>
      </x:c>
      <x:c r="E4" s="2" t="n">
        <x:f>SUMIF('功能开发明细'!$H$5:$H$19,A4,'功能开发明细'!$K$5:$K$19)</x:f>
        <x:v>178</x:v>
      </x:c>
      <x:c r="F4" s="2" t="n">
        <x:f>SUMIF('功能开发明细'!$H$5:$H$19,A4,'功能开发明细'!$L$5:$L$19)</x:f>
        <x:v>96</x:v>
      </x:c>
      <x:c r="G4" s="2" t="n">
        <x:f>SUMIF('功能开发明细'!$H$5:$H$19,A4,'功能开发明细'!$M$5:$M$19)</x:f>
        <x:v>812</x:v>
      </x:c>
      <x:c r="H4" s="6" t="n">
        <x:f>SUMIF('功能开发明细'!$H$5:$H$19,A4,'功能开发明细'!$N$5:$N$19)</x:f>
        <x:v>162400</x:v>
      </x:c>
      <x:c r="I4" s="6" t="n">
        <x:f>SUMIF('功能开发明细'!$H$5:$H$19,A4,'功能开发明细'!$O$5:$O$19)</x:f>
        <x:v>31000</x:v>
      </x:c>
      <x:c r="J4" s="6" t="n">
        <x:f>SUMIF('功能开发明细'!$H$5:$H$19,A4,'功能开发明细'!$P$5:$P$19)</x:f>
        <x:v>193400</x:v>
      </x:c>
      <x:c r="L4" t="str">
        <x:v>V0.1</x:v>
      </x:c>
      <x:c r="M4" s="17" t="n">
        <x:f>J4</x:f>
        <x:v>193400</x:v>
      </x:c>
    </x:row>
    <x:row r="5" ht="31.5" customHeight="1">
      <x:c r="A5" s="2" t="str">
        <x:v>V0.2</x:v>
      </x:c>
      <x:c r="B5" s="2" t="n">
        <x:f>COUNTIF('功能开发明细'!$H$5:$H$19,A5)</x:f>
        <x:v>6</x:v>
      </x:c>
      <x:c r="C5" s="2" t="n">
        <x:f>SUMIF('功能开发明细'!$H$5:$H$19,A5,'功能开发明细'!$I$5:$I$19)</x:f>
        <x:v>298</x:v>
      </x:c>
      <x:c r="D5" s="2" t="n">
        <x:f>SUMIF('功能开发明细'!$H$5:$H$19,A5,'功能开发明细'!$J$5:$J$19)</x:f>
        <x:v>284</x:v>
      </x:c>
      <x:c r="E5" s="2" t="n">
        <x:f>SUMIF('功能开发明细'!$H$5:$H$19,A5,'功能开发明细'!$K$5:$K$19)</x:f>
        <x:v>254</x:v>
      </x:c>
      <x:c r="F5" s="2" t="n">
        <x:f>SUMIF('功能开发明细'!$H$5:$H$19,A5,'功能开发明细'!$L$5:$L$19)</x:f>
        <x:v>110</x:v>
      </x:c>
      <x:c r="G5" s="2" t="n">
        <x:f>SUMIF('功能开发明细'!$H$5:$H$19,A5,'功能开发明细'!$M$5:$M$19)</x:f>
        <x:v>946</x:v>
      </x:c>
      <x:c r="H5" s="6" t="n">
        <x:f>SUMIF('功能开发明细'!$H$5:$H$19,A5,'功能开发明细'!$N$5:$N$19)</x:f>
        <x:v>189200</x:v>
      </x:c>
      <x:c r="I5" s="6" t="n">
        <x:f>SUMIF('功能开发明细'!$H$5:$H$19,A5,'功能开发明细'!$O$5:$O$19)</x:f>
        <x:v>50000</x:v>
      </x:c>
      <x:c r="J5" s="6" t="n">
        <x:f>SUMIF('功能开发明细'!$H$5:$H$19,A5,'功能开发明细'!$P$5:$P$19)</x:f>
        <x:v>239200</x:v>
      </x:c>
      <x:c r="L5" t="str">
        <x:v>V0.2</x:v>
      </x:c>
      <x:c r="M5" s="17" t="n">
        <x:f>J5</x:f>
        <x:v>239200</x:v>
      </x:c>
    </x:row>
    <x:row r="6" ht="31.5" customHeight="1">
      <x:c r="A6" s="2" t="str">
        <x:v>跨版本基础设施</x:v>
      </x:c>
      <x:c r="B6" s="2" t="n">
        <x:f>COUNTIF('功能开发明细'!$H$5:$H$19,A6)</x:f>
        <x:v>1</x:v>
      </x:c>
      <x:c r="C6" s="2" t="n">
        <x:f>SUMIF('功能开发明细'!$H$5:$H$19,A6,'功能开发明细'!$I$5:$I$19)</x:f>
        <x:v>28</x:v>
      </x:c>
      <x:c r="D6" s="2" t="n">
        <x:f>SUMIF('功能开发明细'!$H$5:$H$19,A6,'功能开发明细'!$J$5:$J$19)</x:f>
        <x:v>50</x:v>
      </x:c>
      <x:c r="E6" s="2" t="n">
        <x:f>SUMIF('功能开发明细'!$H$5:$H$19,A6,'功能开发明细'!$K$5:$K$19)</x:f>
        <x:v>20</x:v>
      </x:c>
      <x:c r="F6" s="2" t="n">
        <x:f>SUMIF('功能开发明细'!$H$5:$H$19,A6,'功能开发明细'!$L$5:$L$19)</x:f>
        <x:v>14</x:v>
      </x:c>
      <x:c r="G6" s="2" t="n">
        <x:f>SUMIF('功能开发明细'!$H$5:$H$19,A6,'功能开发明细'!$M$5:$M$19)</x:f>
        <x:v>112</x:v>
      </x:c>
      <x:c r="H6" s="6" t="n">
        <x:f>SUMIF('功能开发明细'!$H$5:$H$19,A6,'功能开发明细'!$N$5:$N$19)</x:f>
        <x:v>22400</x:v>
      </x:c>
      <x:c r="I6" s="6" t="n">
        <x:f>SUMIF('功能开发明细'!$H$5:$H$19,A6,'功能开发明细'!$O$5:$O$19)</x:f>
        <x:v>4000</x:v>
      </x:c>
      <x:c r="J6" s="6" t="n">
        <x:f>SUMIF('功能开发明细'!$H$5:$H$19,A6,'功能开发明细'!$P$5:$P$19)</x:f>
        <x:v>26400</x:v>
      </x:c>
      <x:c r="L6" t="str">
        <x:v>跨版本基础设施</x:v>
      </x:c>
      <x:c r="M6" s="17" t="n">
        <x:f>J6</x:f>
        <x:v>26400</x:v>
      </x:c>
    </x:row>
    <x:row r="7" ht="31.5" customHeight="1">
      <x:c r="A7" s="15" t="str">
        <x:v>合计</x:v>
      </x:c>
      <x:c r="B7" s="15" t="n">
        <x:f>SUM(B4:B6)</x:f>
        <x:v>15</x:v>
      </x:c>
      <x:c r="C7" s="15" t="n">
        <x:f>SUM(C4:C6)</x:f>
        <x:v>534</x:v>
      </x:c>
      <x:c r="D7" s="15" t="n">
        <x:f>SUM(D4:D6)</x:f>
        <x:v>664</x:v>
      </x:c>
      <x:c r="E7" s="15" t="n">
        <x:f>SUM(E4:E6)</x:f>
        <x:v>452</x:v>
      </x:c>
      <x:c r="F7" s="15" t="n">
        <x:f>SUM(F4:F6)</x:f>
        <x:v>220</x:v>
      </x:c>
      <x:c r="G7" s="15" t="n">
        <x:f>SUM(G4:G6)</x:f>
        <x:v>1870</x:v>
      </x:c>
      <x:c r="H7" s="16" t="n">
        <x:f>SUM(H4:H6)</x:f>
        <x:v>374000</x:v>
      </x:c>
      <x:c r="I7" s="16" t="n">
        <x:f>SUM(I4:I6)</x:f>
        <x:v>85000</x:v>
      </x:c>
      <x:c r="J7" s="16" t="n">
        <x:f>SUM(J4:J6)</x:f>
        <x:v>459000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623ac338bda44d6e"/>
  <x:tableParts count="1">
    <x:tablePart xmlns:r="http://schemas.openxmlformats.org/officeDocument/2006/relationships" r:id="R433d9a75e5a547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90000152587891" hidden="0" customWidth="1"/>
    <x:col min="2" max="2" width="18.84000015258789" hidden="0" customWidth="1"/>
    <x:col min="3" max="3" width="14.800000190734863" hidden="0" customWidth="1"/>
    <x:col min="4" max="4" width="32.29999923706055" hidden="0" customWidth="1"/>
    <x:col min="5" max="5" width="11.4399995803833" hidden="0" customWidth="1"/>
    <x:col min="6" max="6" width="9.829999923706055" hidden="0" customWidth="1"/>
    <x:col min="7" max="7" width="9.5600004196167" hidden="0" customWidth="1"/>
    <x:col min="8" max="8" width="15.479999542236328" hidden="0" customWidth="1"/>
    <x:col min="9" max="9" width="11.4399995803833" hidden="0" customWidth="1"/>
    <x:col min="10" max="10" width="11.4399995803833" hidden="0" customWidth="1"/>
    <x:col min="11" max="11" width="13.460000038146973" hidden="0" customWidth="1"/>
    <x:col min="12" max="12" width="14.130000114440918" hidden="0" customWidth="1"/>
    <x:col min="13" max="13" width="12.789999961853027" hidden="0" customWidth="1"/>
    <x:col min="14" max="14" width="14.800000190734863" hidden="0" customWidth="1"/>
    <x:col min="15" max="15" width="14.800000190734863" hidden="0" customWidth="1"/>
    <x:col min="16" max="16" width="14.800000190734863" hidden="0" customWidth="1"/>
    <x:col min="17" max="17" width="61.2400016784668" hidden="0" customWidth="1"/>
    <x:col min="18" max="18" width="50.470001220703125" hidden="0" customWidth="1"/>
    <x:col min="19" max="19" width="53.15999984741211" hidden="0" customWidth="1"/>
    <x:col min="20" max="20" width="69.30999755859375" hidden="0" customWidth="1"/>
  </x:cols>
  <x:sheetData>
    <x:row r="1">
      <x:c r="A1" s="9" t="str">
        <x:v>MIMU V0.1/V0.2 功能开发人工时明细</x:v>
      </x:c>
    </x:row>
    <x:row r="2">
      <x:c r="A2" s="19" t="str">
        <x:v>只估开发，不含测试。人工时按功能交付所需前端、后端、AI/数据、联调评审拆分；V0.3 已排除。</x:v>
      </x:c>
    </x:row>
    <x:row r="4">
      <x:c r="A4" s="12" t="str">
        <x:v>序号</x:v>
      </x:c>
      <x:c r="B4" s="12" t="str">
        <x:v>大目录</x:v>
      </x:c>
      <x:c r="C4" s="12" t="str">
        <x:v>项目</x:v>
      </x:c>
      <x:c r="D4" s="12" t="str">
        <x:v>功能</x:v>
      </x:c>
      <x:c r="E4" s="12" t="str">
        <x:v>原阶段</x:v>
      </x:c>
      <x:c r="F4" s="12" t="str">
        <x:v>推荐优先级</x:v>
      </x:c>
      <x:c r="G4" s="12" t="str">
        <x:v>难度</x:v>
      </x:c>
      <x:c r="H4" s="12" t="str">
        <x:v>上线版本</x:v>
      </x:c>
      <x:c r="I4" s="12" t="str">
        <x:v>前端人工时</x:v>
      </x:c>
      <x:c r="J4" s="12" t="str">
        <x:v>后端人工时</x:v>
      </x:c>
      <x:c r="K4" s="12" t="str">
        <x:v>AI/数据人工时</x:v>
      </x:c>
      <x:c r="L4" s="12" t="str">
        <x:v>联调评审人工时</x:v>
      </x:c>
      <x:c r="M4" s="12" t="str">
        <x:v>开发总人工时</x:v>
      </x:c>
      <x:c r="N4" s="12" t="str">
        <x:v>开发人力预算</x:v>
      </x:c>
      <x:c r="O4" s="12" t="str">
        <x:v>开发外部费用</x:v>
      </x:c>
      <x:c r="P4" s="12" t="str">
        <x:v>开发总预算</x:v>
      </x:c>
      <x:c r="Q4" s="12" t="str">
        <x:v>为什么需要这些人工时</x:v>
      </x:c>
      <x:c r="R4" s="12" t="str">
        <x:v>交付范围</x:v>
      </x:c>
      <x:c r="S4" s="12" t="str">
        <x:v>落地性/效果平衡</x:v>
      </x:c>
      <x:c r="T4" s="12" t="str">
        <x:v>技术路线</x:v>
      </x:c>
    </x:row>
    <x:row r="5" ht="91.5" customHeight="1">
      <x:c r="A5" s="20" t="n">
        <x:v>1</x:v>
      </x:c>
      <x:c r="B5" s="20" t="str">
        <x:v>一、美妆资产数字化</x:v>
      </x:c>
      <x:c r="C5" s="20" t="str">
        <x:v>产品录入</x:v>
      </x:c>
      <x:c r="D5" s="20" t="str">
        <x:v>OCR（产品核心识别入口，支持扫码、拍照、文字识别三种录入方式）</x:v>
      </x:c>
      <x:c r="E5" s="20" t="str">
        <x:v>V0.2</x:v>
      </x:c>
      <x:c r="F5" s="20" t="str">
        <x:v>P1</x:v>
      </x:c>
      <x:c r="G5" s="20" t="str">
        <x:v>高</x:v>
      </x:c>
      <x:c r="H5" s="20" t="str">
        <x:v>V0.2</x:v>
      </x:c>
      <x:c r="I5" s="20" t="n">
        <x:v>56</x:v>
      </x:c>
      <x:c r="J5" s="20" t="n">
        <x:v>68</x:v>
      </x:c>
      <x:c r="K5" s="20" t="n">
        <x:v>52</x:v>
      </x:c>
      <x:c r="L5" s="20" t="n">
        <x:v>24</x:v>
      </x:c>
      <x:c r="M5" s="20" t="n">
        <x:v>200</x:v>
      </x:c>
      <x:c r="N5" s="21" t="n">
        <x:v>40000</x:v>
      </x:c>
      <x:c r="O5" s="21" t="n">
        <x:v>8000</x:v>
      </x:c>
      <x:c r="P5" s="21" t="n">
        <x:v>48000</x:v>
      </x:c>
      <x:c r="Q5" s="20" t="str">
        <x:v>需要改前端扫码/拍照/上传流程、后端 ProductScan/OCR/条码候选流水线、识别字段抽取与人工确认闭环；多商品和反光包装只做灰度能力，但仍要留数据结构、开关和样例回归。</x:v>
      </x:c>
      <x:c r="R5" s="20" t="str">
        <x:v>单品扫码/拍照识别、OCR/VLM候选召回、可编辑识别草稿、确认入库、一图多品内部灰度开关。</x:v>
      </x:c>
      <x:c r="S5" s="20" t="str">
        <x:v>效果优先保证单品识别和确认体验；一图多品不承诺高准确率，用引导拍摄和平替手动确认控风险。</x:v>
      </x:c>
      <x:c r="T5" s="20" t="str">
        <x:v>可行路线：沿用现有 backend/product-intake 的 ProductScan、OCR provider、条码 provider 和候选匹配服务，前端用 Expo Camera / VisionCamera 做扫码、拍照和相册上传。后端先走“条码优先、OCR/VLM补充、规则抽字段、候选产品召回、人工确认”的流水线；多商品照片先做图像预处理和候选区域切分，再为每个区域生成一个可编辑 draft。准确性保障：保存 OCR blocks、recognizedFields、fieldConfidence 和人工修正结果，建立回归样例集。难点：反光瓶身、花体字、磨损标签和一图多品识别会显著降低准确率。平替：3人团队先做“单品引导拍摄 + 条码优先 + 手动确认”，一图多品作为 V0.2+ 的增强能力。</x:v>
      </x:c>
    </x:row>
    <x:row r="6" ht="91.5" customHeight="1">
      <x:c r="A6" s="22" t="n">
        <x:v>2</x:v>
      </x:c>
      <x:c r="B6" s="22" t="str">
        <x:v>一、美妆资产数字化</x:v>
      </x:c>
      <x:c r="C6" s="22" t="str">
        <x:v>产品录入</x:v>
      </x:c>
      <x:c r="D6" s="22" t="str">
        <x:v>化妆品数据库构建</x:v>
      </x:c>
      <x:c r="E6" s="22" t="str">
        <x:v>V0.1</x:v>
      </x:c>
      <x:c r="F6" s="22" t="str">
        <x:v>P0</x:v>
      </x:c>
      <x:c r="G6" s="22" t="str">
        <x:v>中</x:v>
      </x:c>
      <x:c r="H6" s="22" t="str">
        <x:v>V0.1</x:v>
      </x:c>
      <x:c r="I6" s="22" t="n">
        <x:v>20</x:v>
      </x:c>
      <x:c r="J6" s="22" t="n">
        <x:v>60</x:v>
      </x:c>
      <x:c r="K6" s="22" t="n">
        <x:v>56</x:v>
      </x:c>
      <x:c r="L6" s="22" t="n">
        <x:v>16</x:v>
      </x:c>
      <x:c r="M6" s="22" t="n">
        <x:v>152</x:v>
      </x:c>
      <x:c r="N6" s="23" t="n">
        <x:v>30400</x:v>
      </x:c>
      <x:c r="O6" s="23" t="n">
        <x:v>6000</x:v>
      </x:c>
      <x:c r="P6" s="23" t="n">
        <x:v>36400</x:v>
      </x:c>
      <x:c r="Q6" s="22" t="str">
        <x:v>商品库不是单纯建表，必须做 Product、CatalogAsset、匹配规则、来源、成分和保质期规则的导入/审核链路；还要准备路演核心 SKU 和用户确认数据回流。</x:v>
      </x:c>
      <x:c r="R6" s="22" t="str">
        <x:v>核心 SKU 种子库、商品别名/色号/来源字段、导入脚本、后台复核口径、用户识别结果回流。</x:v>
      </x:c>
      <x:c r="S6" s="22" t="str">
        <x:v>不追求全球完整库，先保证路演高频产品查得到、字段可信、可持续扩库。</x:v>
      </x:c>
      <x:c r="T6" s="22" t="str">
        <x:v>可行路线：把 Product、ProductCatalogAsset、ProductCatalogMatchRule、ProductCatalogSource、ProductIngredient、ShelfLifeRule 作为商品主数据底座，建立导入脚本和后台审核流。数据来源采用“自建种子库 + 用户确认数据 + Open Beauty Facts/Product Opener 可用字段 + CosIng 成分名 + 品牌官网/人工校验”的组合；所有外部字段都带 source、confidence、verifiedAt。匹配时按条码、品牌别名、商品名、色号、包装关键词分层召回。难点：不存在覆盖全球美妆且字段完整的免费官方商品库。平替：先整理路演常用 200-500 个核心 SKU，其他产品进入用户自建草稿和人工复核队列。</x:v>
      </x:c>
    </x:row>
    <x:row r="7" ht="91.5" customHeight="1">
      <x:c r="A7" s="20" t="n">
        <x:v>3</x:v>
      </x:c>
      <x:c r="B7" s="20" t="str">
        <x:v>一、美妆资产数字化</x:v>
      </x:c>
      <x:c r="C7" s="20" t="str">
        <x:v>产品录入</x:v>
      </x:c>
      <x:c r="D7" s="20" t="str">
        <x:v>产品搜索</x:v>
      </x:c>
      <x:c r="E7" s="20" t="str">
        <x:v>V0.1</x:v>
      </x:c>
      <x:c r="F7" s="20" t="str">
        <x:v>P0</x:v>
      </x:c>
      <x:c r="G7" s="20" t="str">
        <x:v>低-中</x:v>
      </x:c>
      <x:c r="H7" s="20" t="str">
        <x:v>V0.1</x:v>
      </x:c>
      <x:c r="I7" s="20" t="n">
        <x:v>20</x:v>
      </x:c>
      <x:c r="J7" s="20" t="n">
        <x:v>42</x:v>
      </x:c>
      <x:c r="K7" s="20" t="n">
        <x:v>12</x:v>
      </x:c>
      <x:c r="L7" s="20" t="n">
        <x:v>10</x:v>
      </x:c>
      <x:c r="M7" s="20" t="n">
        <x:v>84</x:v>
      </x:c>
      <x:c r="N7" s="21" t="n">
        <x:v>16800</x:v>
      </x:c>
      <x:c r="O7" s="21" t="n">
        <x:v>0</x:v>
      </x:c>
      <x:c r="P7" s="21" t="n">
        <x:v>16800</x:v>
      </x:c>
      <x:c r="Q7" s="20" t="str">
        <x:v>搜索本身不重，但要做标准化字段、模糊匹配、别名维护、排序公式和空结果兜底；前端还要处理候选展示、筛选和加载状态。</x:v>
      </x:c>
      <x:c r="R7" s="20" t="str">
        <x:v>中英混搜、品牌/品名/色号模糊匹配、搜索排序、无结果兜底、热门/最近搜索。</x:v>
      </x:c>
      <x:c r="S7" s="20" t="str">
        <x:v>先用 pg_trgm + synonyms，暂不接复杂向量检索，保证可控和低成本。</x:v>
      </x:c>
      <x:c r="T7" s="20" t="str">
        <x:v>可行路线：在 PostgreSQL 上用标准化检索字段做商品搜索：brand/name/shade/aliases/tags 归一化、小写、去空格，中文/英文别名分开存；用 pg_trgm 做模糊相似度，配合全文检索和精确条码命中，排序公式为 exact &gt; barcode &gt; brand/name similarity &gt; shade &gt; heat。Prisma 层对复杂排序用 $queryRaw，API 保持 /products/search。可选增强：用 pgvector 做语义召回，适合“豆沙色口红”“敏感肌粉底”这类意图搜索。难点：中文分词、拼音和跨语言别名。平替：先做 ILIKE + pg_trgm + 手工 synonyms，足够支撑内测。</x:v>
      </x:c>
    </x:row>
    <x:row r="8" ht="91.5" customHeight="1">
      <x:c r="A8" s="22" t="n">
        <x:v>4</x:v>
      </x:c>
      <x:c r="B8" s="22" t="str">
        <x:v>一、美妆资产数字化</x:v>
      </x:c>
      <x:c r="C8" s="22" t="str">
        <x:v>保质期（支持自定义）</x:v>
      </x:c>
      <x:c r="D8" s="22" t="str">
        <x:v>开封后保质期</x:v>
      </x:c>
      <x:c r="E8" s="22" t="str">
        <x:v>V0.1</x:v>
      </x:c>
      <x:c r="F8" s="22" t="str">
        <x:v>P0</x:v>
      </x:c>
      <x:c r="G8" s="22" t="str">
        <x:v>低</x:v>
      </x:c>
      <x:c r="H8" s="22" t="str">
        <x:v>V0.1</x:v>
      </x:c>
      <x:c r="I8" s="22" t="n">
        <x:v>12</x:v>
      </x:c>
      <x:c r="J8" s="22" t="n">
        <x:v>26</x:v>
      </x:c>
      <x:c r="K8" s="22" t="n">
        <x:v>8</x:v>
      </x:c>
      <x:c r="L8" s="22" t="n">
        <x:v>6</x:v>
      </x:c>
      <x:c r="M8" s="22" t="n">
        <x:v>52</x:v>
      </x:c>
      <x:c r="N8" s="23" t="n">
        <x:v>10400</x:v>
      </x:c>
      <x:c r="O8" s="23" t="n">
        <x:v>0</x:v>
      </x:c>
      <x:c r="P8" s="23" t="n">
        <x:v>10400</x:v>
      </x:c>
      <x:c r="Q8" s="22" t="str">
        <x:v>核心是把开封状态、PAO规则、自定义过期日和提醒联动统一到 UserProductsService，避免前后端各算各的；前端只是日期和状态交互。</x:v>
      </x:c>
      <x:c r="R8" s="22" t="str">
        <x:v>已开封/未开封切换、开封日期、PAO规则计算、自定义过期日、临期提醒联动。</x:v>
      </x:c>
      <x:c r="S8" s="22" t="str">
        <x:v>规则缺失时显示估算，不为了追求官方精度拖慢上线。</x:v>
      </x:c>
      <x:c r="T8" s="22" t="str">
        <x:v>可行路线：复用 UserProduct 的 isOpened、openedAt、customExpiresAt、expiresAt 字段和 ShelfLifeRule。用户点“已开封”时写入 openedAt，后端按 product.periodAfterOpeningMonths &gt; ShelfLifeRule &gt; subCategory 默认值计算开封后过期日；customExpiresAt 永远优先。前端提供日期选择、PAO 月数编辑、撤销开封和提醒开关；Dashboard/Notifications 读取 expiresAt 推送临期提醒。准确性保障：所有计算集中在 UserProductsService，写单元测试覆盖未开封、已开封、手动改期、规则缺失。难点低。平替：规则缺失时使用品类默认 PAO，并明确显示“估算”。</x:v>
      </x:c>
    </x:row>
    <x:row r="9" ht="91.5" customHeight="1">
      <x:c r="A9" s="20" t="n">
        <x:v>5</x:v>
      </x:c>
      <x:c r="B9" s="20" t="str">
        <x:v>一、美妆资产数字化</x:v>
      </x:c>
      <x:c r="C9" s="20" t="str">
        <x:v>余量分析</x:v>
      </x:c>
      <x:c r="D9" s="20" t="str">
        <x:v>AI跟妆图片捕捉</x:v>
      </x:c>
      <x:c r="E9" s="20" t="str">
        <x:v>V0.2</x:v>
      </x:c>
      <x:c r="F9" s="20" t="str">
        <x:v>P2</x:v>
      </x:c>
      <x:c r="G9" s="20" t="str">
        <x:v>高</x:v>
      </x:c>
      <x:c r="H9" s="20" t="str">
        <x:v>V0.2</x:v>
      </x:c>
      <x:c r="I9" s="20" t="n">
        <x:v>62</x:v>
      </x:c>
      <x:c r="J9" s="20" t="n">
        <x:v>38</x:v>
      </x:c>
      <x:c r="K9" s="20" t="n">
        <x:v>54</x:v>
      </x:c>
      <x:c r="L9" s="20" t="n">
        <x:v>22</x:v>
      </x:c>
      <x:c r="M9" s="20" t="n">
        <x:v>176</x:v>
      </x:c>
      <x:c r="N9" s="21" t="n">
        <x:v>35200</x:v>
      </x:c>
      <x:c r="O9" s="21" t="n">
        <x:v>10000</x:v>
      </x:c>
      <x:c r="P9" s="21" t="n">
        <x:v>45200</x:v>
      </x:c>
      <x:c r="Q9" s="20" t="str">
        <x:v>实时相机帧、产品选择、余量滑杆、视觉辅助识别、记录回写都要串起来；视觉余量只能做区间判断，还需要弱光/反光/遮挡兜底和用户确认。</x:v>
      </x:c>
      <x:c r="R9" s="20" t="str">
        <x:v>使用后余量滑杆、相机辅助识别当前产品、余量区间建议、用户确认后写入 usage record。</x:v>
      </x:c>
      <x:c r="S9" s="20" t="str">
        <x:v>保留好效果的相机辅助，但不承诺自动精确余量；人工确认保证可落地。</x:v>
      </x:c>
      <x:c r="T9" s="20" t="str">
        <x:v>可行路线：高难。前端在实时跟妆模式中用 VisionCamera frame output 每隔数秒取低分辨率帧，要求用户先选择当前使用的产品；后端/本地模型只判断“产品是否在画面、是否被使用、余量区间”，不要承诺精确克数。可先用包装 ROI、前后帧变化、瓶身液面/膏体面积估计 remaining bucket，并写入 UserProductUsageRecord(source=vision)。准确性保障：所有视觉结果都必须让用户确认或滑杆修正。难点：化妆品容器材质复杂、反光、遮挡、不可见内芯，视觉余量估计天然不稳定。平替：先做“使用后弹出余量滑杆 + 相机只辅助识别产品”作为可落地版本。</x:v>
      </x:c>
    </x:row>
    <x:row r="10" ht="91.5" customHeight="1">
      <x:c r="A10" s="22" t="n">
        <x:v>6</x:v>
      </x:c>
      <x:c r="B10" s="22" t="str">
        <x:v>一、美妆资产数字化</x:v>
      </x:c>
      <x:c r="C10" s="22" t="str">
        <x:v>余量分析</x:v>
      </x:c>
      <x:c r="D10" s="22" t="str">
        <x:v>自动计算消耗量</x:v>
      </x:c>
      <x:c r="E10" s="22" t="str">
        <x:v>V0.1</x:v>
      </x:c>
      <x:c r="F10" s="22" t="str">
        <x:v>P1</x:v>
      </x:c>
      <x:c r="G10" s="22" t="str">
        <x:v>中</x:v>
      </x:c>
      <x:c r="H10" s="22" t="str">
        <x:v>V0.1</x:v>
      </x:c>
      <x:c r="I10" s="22" t="n">
        <x:v>18</x:v>
      </x:c>
      <x:c r="J10" s="22" t="n">
        <x:v>42</x:v>
      </x:c>
      <x:c r="K10" s="22" t="n">
        <x:v>18</x:v>
      </x:c>
      <x:c r="L10" s="22" t="n">
        <x:v>10</x:v>
      </x:c>
      <x:c r="M10" s="22" t="n">
        <x:v>88</x:v>
      </x:c>
      <x:c r="N10" s="23" t="n">
        <x:v>17600</x:v>
      </x:c>
      <x:c r="O10" s="23" t="n">
        <x:v>0</x:v>
      </x:c>
      <x:c r="P10" s="23" t="n">
        <x:v>17600</x:v>
      </x:c>
      <x:c r="Q10" s="22" t="str">
        <x:v>需要建立品类消耗规则、执行步骤扣减、历史记录和用户修正校准；还要处理重复扣减、回滚和低余量提醒。</x:v>
      </x:c>
      <x:c r="R10" s="22" t="str">
        <x:v>品类默认消耗、执行完成自动扣减、预计可用天数、低余量提醒、手动校准。</x:v>
      </x:c>
      <x:c r="S10" s="22" t="str">
        <x:v>用规则估算换取稳定上线，视觉结果只作为后续增强。</x:v>
      </x:c>
      <x:c r="T10" s="22" t="str">
        <x:v>可行路线：基于 UserProductUsageProfile 和 UserProductUsageRecord 建立规则型消耗模型。为每个 subCategory 配置默认单次消耗百分比和频率权重；Execution 完成步骤时按所用产品扣减，最近 7/30 天记录用于校准用户个人速度；视觉识别结果仅作为低置信度补充。后端提供 usage recalculation service，前端在资产详情展示预计可用天数、低余量提醒和手动校准入口。准确性保障：每次自动扣减都写 usage record，用户修正会反向更新 profile。难点中等，精确消耗量不可保证。平替：先按步骤完成记录 + 用户频率估算，不接视觉。</x:v>
      </x:c>
    </x:row>
    <x:row r="11" ht="91.5" customHeight="1">
      <x:c r="A11" s="20" t="n">
        <x:v>7</x:v>
      </x:c>
      <x:c r="B11" s="20" t="str">
        <x:v>一、美妆资产数字化</x:v>
      </x:c>
      <x:c r="C11" s="20" t="str">
        <x:v>成分分析</x:v>
      </x:c>
      <x:c r="D11" s="20" t="str">
        <x:v>个性化成分分析</x:v>
      </x:c>
      <x:c r="E11" s="20" t="str">
        <x:v>V0.2</x:v>
      </x:c>
      <x:c r="F11" s="20" t="str">
        <x:v>P1</x:v>
      </x:c>
      <x:c r="G11" s="20" t="str">
        <x:v>中-高</x:v>
      </x:c>
      <x:c r="H11" s="20" t="str">
        <x:v>V0.2</x:v>
      </x:c>
      <x:c r="I11" s="20" t="n">
        <x:v>36</x:v>
      </x:c>
      <x:c r="J11" s="20" t="n">
        <x:v>54</x:v>
      </x:c>
      <x:c r="K11" s="20" t="n">
        <x:v>54</x:v>
      </x:c>
      <x:c r="L11" s="20" t="n">
        <x:v>16</x:v>
      </x:c>
      <x:c r="M11" s="20" t="n">
        <x:v>160</x:v>
      </x:c>
      <x:c r="N11" s="21" t="n">
        <x:v>32000</x:v>
      </x:c>
      <x:c r="O11" s="21" t="n">
        <x:v>8000</x:v>
      </x:c>
      <x:c r="P11" s="21" t="n">
        <x:v>40000</x:v>
      </x:c>
      <x:c r="Q11" s="20" t="str">
        <x:v>不只是展示成分，要做成分知识库、产品成分关联、肤质个性化规则、风险提示和产品对比；LLM只能改写，不能替代规则。</x:v>
      </x:c>
      <x:c r="R11" s="20" t="str">
        <x:v>成分详情、敏感肌/致痘/致敏风险、肤质个性化报告、成分对比、科普说明。</x:v>
      </x:c>
      <x:c r="S11" s="20" t="str">
        <x:v>先做规则可追溯的高可信报告，避免医疗化和模型胡说。</x:v>
      </x:c>
      <x:c r="T11" s="20" t="str">
        <x:v>可行路线：复用 Ingredient、ProductIngredient、IngredientAnalysis。先导入 CosIng/FDA/人工维护的 INCI 成分名、常见功能、敏感肌关注、孕期/致痘/致敏风险标签；产品成分来自商品库或 OCR。分析引擎用确定性规则生成 riskLevel、constraintTags、skinTypeNotes、recommendationWarnings，LLM 只负责把结构化事实改写成可读说明。前端支持用户肤质、过敏/避雷成分、产品对比。准确性保障：避免医疗诊断措辞，输出“风险提示/科普”而非治疗结论，规则可回溯。难点：风险标签需要专业维护。平替：先做基础成分解释和敏感肌提醒，个性化报告逐步扩规则库。</x:v>
      </x:c>
    </x:row>
    <x:row r="12" ht="91.5" customHeight="1">
      <x:c r="A12" s="22" t="n">
        <x:v>8</x:v>
      </x:c>
      <x:c r="B12" s="22" t="str">
        <x:v>一、美妆资产数字化</x:v>
      </x:c>
      <x:c r="C12" s="22" t="str">
        <x:v>化妆台</x:v>
      </x:c>
      <x:c r="D12" s="22" t="str">
        <x:v>化妆台展示</x:v>
      </x:c>
      <x:c r="E12" s="22" t="str">
        <x:v>V0.2</x:v>
      </x:c>
      <x:c r="F12" s="22" t="str">
        <x:v>P2</x:v>
      </x:c>
      <x:c r="G12" s="22" t="str">
        <x:v>中</x:v>
      </x:c>
      <x:c r="H12" s="22" t="str">
        <x:v>V0.2</x:v>
      </x:c>
      <x:c r="I12" s="22" t="n">
        <x:v>68</x:v>
      </x:c>
      <x:c r="J12" s="22" t="n">
        <x:v>24</x:v>
      </x:c>
      <x:c r="K12" s="22" t="n">
        <x:v>20</x:v>
      </x:c>
      <x:c r="L12" s="22" t="n">
        <x:v>16</x:v>
      </x:c>
      <x:c r="M12" s="22" t="n">
        <x:v>128</x:v>
      </x:c>
      <x:c r="N12" s="23" t="n">
        <x:v>25600</x:v>
      </x:c>
      <x:c r="O12" s="23" t="n">
        <x:v>8000</x:v>
      </x:c>
      <x:c r="P12" s="23" t="n">
        <x:v>33600</x:v>
      </x:c>
      <x:c r="Q12" s="22" t="str">
        <x:v>主要工作在前端拖拽布局、主题皮肤、产品图片适配和跨端视觉细节；后端需要保存布局和主题配置。</x:v>
      </x:c>
      <x:c r="R12" s="22" t="str">
        <x:v>2D/2.5D虚拟化妆台、拖拽布局保存、主题皮肤、产品图片展示和分类入口。</x:v>
      </x:c>
      <x:c r="S12" s="22" t="str">
        <x:v>先做观感好的 2.5D，不做真实 3D 碰撞和 IP 联名。</x:v>
      </x:c>
      <x:c r="T12" s="22" t="str">
        <x:v>可行路线：3人团队先做 2.5D 虚拟化妆台：前端用现有 React Native + Reanimated/手势拖拽，产品用 product.image/imageUrls 作为可拖动卡片，布局 JSON 存到后端 Vanity/用户设置；Web 端可用 CSS transform，后续再引入 Three.js 做真实 3D 场景。皮肤系统本质是主题配置和背景/货架资产包，积分兑换只影响 themeId。难点：跨端 3D 拖拽、碰撞、性能和 IP 授权都重。平替：先做可拖拽 2D/等距货架 + 多套主题背景，保留数据结构兼容未来 3D。</x:v>
      </x:c>
    </x:row>
    <x:row r="13" ht="91.5" customHeight="1">
      <x:c r="A13" s="20" t="n">
        <x:v>9</x:v>
      </x:c>
      <x:c r="B13" s="20" t="str">
        <x:v>一、美妆资产数字化</x:v>
      </x:c>
      <x:c r="C13" s="20" t="str">
        <x:v>用户资料</x:v>
      </x:c>
      <x:c r="D13" s="20" t="str">
        <x:v>用户基本信息</x:v>
      </x:c>
      <x:c r="E13" s="20" t="str">
        <x:v>V0.2</x:v>
      </x:c>
      <x:c r="F13" s="20" t="str">
        <x:v>P1</x:v>
      </x:c>
      <x:c r="G13" s="20" t="str">
        <x:v>中-高</x:v>
      </x:c>
      <x:c r="H13" s="20" t="str">
        <x:v>V0.2</x:v>
      </x:c>
      <x:c r="I13" s="20" t="n">
        <x:v>32</x:v>
      </x:c>
      <x:c r="J13" s="20" t="n">
        <x:v>42</x:v>
      </x:c>
      <x:c r="K13" s="20" t="n">
        <x:v>46</x:v>
      </x:c>
      <x:c r="L13" s="20" t="n">
        <x:v>16</x:v>
      </x:c>
      <x:c r="M13" s="20" t="n">
        <x:v>136</x:v>
      </x:c>
      <x:c r="N13" s="21" t="n">
        <x:v>27200</x:v>
      </x:c>
      <x:c r="O13" s="21" t="n">
        <x:v>12000</x:v>
      </x:c>
      <x:c r="P13" s="21" t="n">
        <x:v>39200</x:v>
      </x:c>
      <x:c r="Q13" s="20" t="str">
        <x:v>需要拍照引导、图片质量校验、VLM结构化输出、用户画像快照、可编辑确认和推荐联动；准确性受光线影响，所以要做置信度和手动修正。</x:v>
      </x:c>
      <x:c r="R13" s="20" t="str">
        <x:v>自拍肤质辅助报告、光线/遮挡提示、结构化肤质观察、用户确认后写入画像。</x:v>
      </x:c>
      <x:c r="S13" s="20" t="str">
        <x:v>问卷为主，图像为辅助，兼顾效果和准确性。</x:v>
      </x:c>
      <x:c r="T13" s="20" t="str">
        <x:v>可行路线：前端引导自拍，先做光线/角度/遮挡校验；后端调用现有 OpenAI-compatible VLM/Qwen-VL 生成结构化肤质观察，再写入 UserConditionSnapshot：skinTone、skinType hint、faceShape、visible concerns、confidence。推荐系统只把它作为“辅助画像”，和用户手填肤质共同决定推荐。准确性保障：提示词和 JSON schema 限定为可见现象，不诊断皮肤病；同一照片保存模型输出和置信度，用户可手动改。难点：单张照片受光照、滤镜、相机影响很大，自动肤质不一定准。平替：问卷为主，图片只给“疑似偏油/泛红/肤色区间”等提示。</x:v>
      </x:c>
    </x:row>
    <x:row r="14" ht="91.5" customHeight="1">
      <x:c r="A14" s="22" t="n">
        <x:v>10</x:v>
      </x:c>
      <x:c r="B14" s="22" t="str">
        <x:v>二.AI 妆容生成与执行</x:v>
      </x:c>
      <x:c r="C14" s="22" t="str">
        <x:v>模版库</x:v>
      </x:c>
      <x:c r="D14" s="22" t="str">
        <x:v>自定义模板库</x:v>
      </x:c>
      <x:c r="E14" s="22" t="str">
        <x:v>V0.2</x:v>
      </x:c>
      <x:c r="F14" s="22" t="str">
        <x:v>P1</x:v>
      </x:c>
      <x:c r="G14" s="22" t="str">
        <x:v>中</x:v>
      </x:c>
      <x:c r="H14" s="22" t="str">
        <x:v>V0.2</x:v>
      </x:c>
      <x:c r="I14" s="22" t="n">
        <x:v>44</x:v>
      </x:c>
      <x:c r="J14" s="22" t="n">
        <x:v>58</x:v>
      </x:c>
      <x:c r="K14" s="22" t="n">
        <x:v>28</x:v>
      </x:c>
      <x:c r="L14" s="22" t="n">
        <x:v>16</x:v>
      </x:c>
      <x:c r="M14" s="22" t="n">
        <x:v>146</x:v>
      </x:c>
      <x:c r="N14" s="23" t="n">
        <x:v>29200</x:v>
      </x:c>
      <x:c r="O14" s="23" t="n">
        <x:v>4000</x:v>
      </x:c>
      <x:c r="P14" s="23" t="n">
        <x:v>33200</x:v>
      </x:c>
      <x:c r="Q14" s="22" t="str">
        <x:v>个人模板要覆盖 CRUD、另存、排序、分组、置顶、上传图文、云同步和社区收藏复制；AI拆步骤必须进入确认页。</x:v>
      </x:c>
      <x:c r="R14" s="22" t="str">
        <x:v>个人模板库、官方模板另存、手动编辑、图文上传拆步骤、收藏同步、多设备查看。</x:v>
      </x:c>
      <x:c r="S14" s="22" t="str">
        <x:v>先保证手动编辑和云同步可靠，再做自动拆步骤增强。</x:v>
      </x:c>
      <x:c r="T14" s="22" t="str">
        <x:v>可行路线：沿用 GeneratedMakeupTemplate、GeneratedTemplateStep、TemplateProductSlot 的结构，新增个人模板 CRUD 能力：保存官方模板副本、上传妆容图和文字步骤、重命名、删除、排序、分组、置顶、收藏、云端同步。上传图片进入对象存储或本地 media 目录，LLM/OCR 将用户文字和图片描述抽成标准 step schema，用户确认后落库；社区收藏通过复制 replicableTemplate 或 sourceTemplateId 生成个人模板。准确性保障：所有 AI 生成步骤都进入编辑确认页。难点中等。平替：先支持“官方模板另存 + 手动编辑 + 收藏”，用户上传图文自动拆步骤后置。</x:v>
      </x:c>
    </x:row>
    <x:row r="15" ht="91.5" customHeight="1">
      <x:c r="A15" s="20" t="n">
        <x:v>14</x:v>
      </x:c>
      <x:c r="B15" s="20" t="str"/>
      <x:c r="C15" s="20" t="str"/>
      <x:c r="D15" s="20" t="str">
        <x:v>AI化妆师实时跟妆update</x:v>
      </x:c>
      <x:c r="E15" s="20" t="str">
        <x:v>V0.1</x:v>
      </x:c>
      <x:c r="F15" s="20" t="str">
        <x:v>P1</x:v>
      </x:c>
      <x:c r="G15" s="20" t="str">
        <x:v>高</x:v>
      </x:c>
      <x:c r="H15" s="20" t="str">
        <x:v>V0.1</x:v>
      </x:c>
      <x:c r="I15" s="20" t="n">
        <x:v>42</x:v>
      </x:c>
      <x:c r="J15" s="20" t="n">
        <x:v>54</x:v>
      </x:c>
      <x:c r="K15" s="20" t="n">
        <x:v>58</x:v>
      </x:c>
      <x:c r="L15" s="20" t="n">
        <x:v>24</x:v>
      </x:c>
      <x:c r="M15" s="20" t="n">
        <x:v>178</x:v>
      </x:c>
      <x:c r="N15" s="21" t="n">
        <x:v>35600</x:v>
      </x:c>
      <x:c r="O15" s="21" t="n">
        <x:v>12000</x:v>
      </x:c>
      <x:c r="P15" s="21" t="n">
        <x:v>47600</x:v>
      </x:c>
      <x:c r="Q15" s="20" t="str">
        <x:v>要在现有教练链路上加 ASR意图识别、会话状态、JSON Patch、模板更新、反馈提交和降级策略；实时视觉纠错暂不做强承诺。</x:v>
      </x:c>
      <x:c r="R15" s="20" t="str">
        <x:v>语音/截图回合制修改、换色/加重/替换产品意图、方案实时更新、反馈入口。</x:v>
      </x:c>
      <x:c r="S15" s="20" t="str">
        <x:v>以回合制交互保证可落地，实时纠错作为后续数据积累后的增强。</x:v>
      </x:c>
      <x:c r="T15" s="20" t="str">
        <x:v>可行路线：在现有 /makeup/coach、/makeup/coach/voice、WebSocket realtime 上扩展会话状态。ASR 转文字后进入 intent router，识别换色、加重、减淡、替换产品、反馈问题等意图；LLM 返回 JSON Patch，只允许修改 GeneratedMakeupTemplate 的步骤、slot 和 guidance，经产品可用性/安全规则校验后推给前端实时更新。画面帧按 3-5 秒采样给 VLM 判断，不做每帧重模型推理。反馈按钮创建 TemplateEvent/Issue，带文字和可选截图。难点：实时视觉纠错和多轮状态一致性。平替：先做“截图+语音的回合制修改”，等数据稳定后再训练/微调。</x:v>
      </x:c>
    </x:row>
    <x:row r="16" ht="91.5" customHeight="1">
      <x:c r="A16" s="22" t="n">
        <x:v>15</x:v>
      </x:c>
      <x:c r="B16" s="22" t="str">
        <x:v>三.社区共享</x:v>
      </x:c>
      <x:c r="C16" s="22" t="str">
        <x:v>妆容社区</x:v>
      </x:c>
      <x:c r="D16" s="22" t="str">
        <x:v>妆容社区互动update</x:v>
      </x:c>
      <x:c r="E16" s="22" t="str">
        <x:v>V0.1</x:v>
      </x:c>
      <x:c r="F16" s="22" t="str">
        <x:v>P1</x:v>
      </x:c>
      <x:c r="G16" s="22" t="str">
        <x:v>中</x:v>
      </x:c>
      <x:c r="H16" s="22" t="str">
        <x:v>V0.1</x:v>
      </x:c>
      <x:c r="I16" s="22" t="n">
        <x:v>32</x:v>
      </x:c>
      <x:c r="J16" s="22" t="n">
        <x:v>34</x:v>
      </x:c>
      <x:c r="K16" s="22" t="n">
        <x:v>8</x:v>
      </x:c>
      <x:c r="L16" s="22" t="n">
        <x:v>10</x:v>
      </x:c>
      <x:c r="M16" s="22" t="n">
        <x:v>84</x:v>
      </x:c>
      <x:c r="N16" s="23" t="n">
        <x:v>16800</x:v>
      </x:c>
      <x:c r="O16" s="23" t="n">
        <x:v>2000</x:v>
      </x:c>
      <x:c r="P16" s="23" t="n">
        <x:v>18800</x:v>
      </x:c>
      <x:c r="Q16" s="22" t="str">
        <x:v>社区更新要加圈子、排序、置顶、达人标识和内容状态；前端要改信息流、筛选和帖子详情。</x:v>
      </x:c>
      <x:c r="R16" s="22" t="str">
        <x:v>妆容圈子、热度排序、置顶、达人标识、芭比/模板帖兼容。</x:v>
      </x:c>
      <x:c r="S16" s="22" t="str">
        <x:v>先静态圈子和公式排序，不做复杂推荐算法。</x:v>
      </x:c>
      <x:c r="T16" s="22" t="str">
        <x:v>可行路线：复用 Post、PostComment、PostReaction，增加 Circle 配置、postType、tags、moderationStatus、creatorBadge 等字段或轻量配置表。社区首页按 circle + viewer preference + 热度分排序，热度公式为 likes、favorites、comments、发布时间衰减和优质置顶权重；达人申请用用户帖子数、互动率、被收藏数生成资格页，人工审核后加 badge。芭比娃娃分享作为 doll_post 使用 images/replicableTemplate。准确性保障：排序公式可解释，后台保留手动置顶/下架。难点低到中。平替：先静态圈子 + 公式排序 + 手动达人标识。</x:v>
      </x:c>
    </x:row>
    <x:row r="17" ht="91.5" customHeight="1">
      <x:c r="A17" s="20" t="n">
        <x:v>16</x:v>
      </x:c>
      <x:c r="B17" s="20" t="str">
        <x:v>三.社区共享</x:v>
      </x:c>
      <x:c r="C17" s="20" t="str">
        <x:v>产品社区</x:v>
      </x:c>
      <x:c r="D17" s="20" t="str">
        <x:v>产品使用分享</x:v>
      </x:c>
      <x:c r="E17" s="20" t="str">
        <x:v>V0.1</x:v>
      </x:c>
      <x:c r="F17" s="20" t="str">
        <x:v>P1</x:v>
      </x:c>
      <x:c r="G17" s="20" t="str">
        <x:v>低-中</x:v>
      </x:c>
      <x:c r="H17" s="20" t="str">
        <x:v>V0.1</x:v>
      </x:c>
      <x:c r="I17" s="20" t="n">
        <x:v>28</x:v>
      </x:c>
      <x:c r="J17" s="20" t="n">
        <x:v>28</x:v>
      </x:c>
      <x:c r="K17" s="20" t="n">
        <x:v>6</x:v>
      </x:c>
      <x:c r="L17" s="20" t="n">
        <x:v>8</x:v>
      </x:c>
      <x:c r="M17" s="20" t="n">
        <x:v>70</x:v>
      </x:c>
      <x:c r="N17" s="21" t="n">
        <x:v>14000</x:v>
      </x:c>
      <x:c r="O17" s="21" t="n">
        <x:v>1000</x:v>
      </x:c>
      <x:c r="P17" s="21" t="n">
        <x:v>15000</x:v>
      </x:c>
      <x:c r="Q17" s="20" t="str">
        <x:v>复用社区模块，但要加 product_review、产品绑定、评分/标签、产品详情页关联和筛选。</x:v>
      </x:c>
      <x:c r="R17" s="20" t="str">
        <x:v>产品使用帖、产品绑定、评分标签、按产品/品类筛选、产品详情关联帖子。</x:v>
      </x:c>
      <x:c r="S17" s="20" t="str">
        <x:v>复用普通帖子模型扩展，避免新建复杂社区系统。</x:v>
      </x:c>
      <x:c r="T17" s="20" t="str">
        <x:v>可行路线：用同一个 Posts 模块扩展产品社区：postType=product_review，relatedProducts 绑定 Product/UserProduct，新增评分、价格区间、肤质、妆效标签、购买渠道字段；产品详情页展示该产品相关帖子和筛选。搜索用 productId/category/subCategory/tags，排序支持 recent、helpful、rating、price。前端发帖时从用户化妆台选择产品，后端校验 relatedProducts 存在。难点低，主要是信息架构和审核。平替：先把产品使用贴作为普通社区帖的一种，显示产品 chips 和按产品筛选。</x:v>
      </x:c>
    </x:row>
    <x:row r="18" ht="91.5" customHeight="1">
      <x:c r="A18" s="22" t="n">
        <x:v>17</x:v>
      </x:c>
      <x:c r="B18" s="22" t="str">
        <x:v>四.补购导购与商业闭环</x:v>
      </x:c>
      <x:c r="C18" s="22" t="str">
        <x:v>化妆品商城</x:v>
      </x:c>
      <x:c r="D18" s="22" t="str">
        <x:v>商城搭建</x:v>
      </x:c>
      <x:c r="E18" s="22" t="str">
        <x:v>V0.1</x:v>
      </x:c>
      <x:c r="F18" s="22" t="str">
        <x:v>P2</x:v>
      </x:c>
      <x:c r="G18" s="22" t="str">
        <x:v>中</x:v>
      </x:c>
      <x:c r="H18" s="22" t="str">
        <x:v>V0.1</x:v>
      </x:c>
      <x:c r="I18" s="22" t="n">
        <x:v>36</x:v>
      </x:c>
      <x:c r="J18" s="22" t="n">
        <x:v>44</x:v>
      </x:c>
      <x:c r="K18" s="22" t="n">
        <x:v>12</x:v>
      </x:c>
      <x:c r="L18" s="22" t="n">
        <x:v>12</x:v>
      </x:c>
      <x:c r="M18" s="22" t="n">
        <x:v>104</x:v>
      </x:c>
      <x:c r="N18" s="23" t="n">
        <x:v>20800</x:v>
      </x:c>
      <x:c r="O18" s="23" t="n">
        <x:v>10000</x:v>
      </x:c>
      <x:c r="P18" s="23" t="n">
        <x:v>30800</x:v>
      </x:c>
      <x:c r="Q18" s="22" t="str">
        <x:v>导购不是支付商城，但仍要做商品offer、渠道链接、点击追踪、失效兜底、补购推荐联动和合规提示。</x:v>
      </x:c>
      <x:c r="R18" s="22" t="str">
        <x:v>精选商品链接、补购/缺品推荐、外部跳转、点击统计、UTM/affiliate字段。</x:v>
      </x:c>
      <x:c r="S18" s="22" t="str">
        <x:v>只做跳转导购，不碰支付和订单，降低合规与售后风险。</x:v>
      </x:c>
      <x:c r="T18" s="22" t="str">
        <x:v>可行路线：先不要自建支付闭环，做导购/跳转型商城。后端新增 ProductOffer/PurchaseChannel/ClickTracking：商品、平台、价格、库存状态、affiliate/UTM 链接、lastCheckedAt；导购推荐由 VanityService 的 repurchaseSuggestions、低余量、临期、缺失 slot 触发。平台接入优先级：自有 Shopify Storefront 或品牌联盟 API &gt; Amazon/其他联盟 &gt; TikTok/Shopee 等需要账号资质的平台；前端打开外部链接或小程序。难点：跨境电商 API 资质、佣金合规、价格库存实时性、售后责任。平替：先维护精选购买链接和跳转统计，不处理订单和支付。</x:v>
      </x:c>
    </x:row>
    <x:row r="19" ht="91.5" customHeight="1">
      <x:c r="A19" s="20" t="n">
        <x:v>18</x:v>
      </x:c>
      <x:c r="B19" s="20" t="str">
        <x:v>四.补购导购与商业闭环</x:v>
      </x:c>
      <x:c r="C19" s="20" t="str">
        <x:v>B端数据洞察</x:v>
      </x:c>
      <x:c r="D19" s="20" t="str">
        <x:v>用户使用数据收集</x:v>
      </x:c>
      <x:c r="E19" s="20" t="str">
        <x:v>MVP+V0.1+V0.2</x:v>
      </x:c>
      <x:c r="F19" s="20" t="str">
        <x:v>P0</x:v>
      </x:c>
      <x:c r="G19" s="20" t="str">
        <x:v>中</x:v>
      </x:c>
      <x:c r="H19" s="20" t="str">
        <x:v>跨版本基础设施</x:v>
      </x:c>
      <x:c r="I19" s="20" t="n">
        <x:v>28</x:v>
      </x:c>
      <x:c r="J19" s="20" t="n">
        <x:v>50</x:v>
      </x:c>
      <x:c r="K19" s="20" t="n">
        <x:v>20</x:v>
      </x:c>
      <x:c r="L19" s="20" t="n">
        <x:v>14</x:v>
      </x:c>
      <x:c r="M19" s="20" t="n">
        <x:v>112</x:v>
      </x:c>
      <x:c r="N19" s="21" t="n">
        <x:v>22400</x:v>
      </x:c>
      <x:c r="O19" s="21" t="n">
        <x:v>4000</x:v>
      </x:c>
      <x:c r="P19" s="21" t="n">
        <x:v>26400</x:v>
      </x:c>
      <x:c r="Q19" s="20" t="str">
        <x:v>这是所有版本的基础设施：前端track封装、后端事件表、匿名用户/session、漏斗聚合、隐私字段拦截和CSV导出；需要先统一事件口径。</x:v>
      </x:c>
      <x:c r="R19" s="20" t="str">
        <x:v>一方埋点、匿名事件、核心漏斗、数据导出、隐私字段拦截、版本持续补事件。</x:v>
      </x:c>
      <x:c r="S19" s="20" t="str">
        <x:v>先用 Postgres 事件表和 CSV，暂不引入重型数仓。</x:v>
      </x:c>
      <x:c r="T19" s="20" t="str">
        <x:v>可行路线：建立一套一方事件管线。前端封装 track(eventName,payload)，覆盖登录、扫码、添加产品、搜索、模板生成、执行步骤、教练问答、发帖互动、补购点击；后端写入 TemplateEvent 或新增 AnalyticsEvent，使用匿名 userId hash、sessionId、appVersion、eventTime、payload JSON，禁止上传原始人脸图和音频。Postgres 先做物化视图/定时聚合，Dashboard 输出 DAU、转化漏斗、模板完成率、产品使用频次、补购点击；后续接 Metabase/Superset 或 ClickHouse。服务观测用 OpenTelemetry traces/logs。难点：隐私合规和事件口径治理。平替：先用 Postgres 事件表 + CSV 导出。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c1b80826589845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55.849998474121094" hidden="0" customWidth="1"/>
    <x:col min="3" max="3" width="37.0099983215332" hidden="0" customWidth="1"/>
    <x:col min="4" max="4" width="74.69999694824219" hidden="0" customWidth="1"/>
  </x:cols>
  <x:sheetData>
    <x:row r="1" ht="22.5" customHeight="1">
      <x:c r="A1" s="5" t="str">
        <x:v>上线版本</x:v>
      </x:c>
      <x:c r="B1" s="5" t="str">
        <x:v>建议范围</x:v>
      </x:c>
      <x:c r="C1" s="5" t="str">
        <x:v>建议节奏</x:v>
      </x:c>
      <x:c r="D1" s="5" t="str">
        <x:v>为什么这样排</x:v>
      </x:c>
    </x:row>
    <x:row r="2" ht="63" customHeight="1">
      <x:c r="A2" s="2" t="str">
        <x:v>V0.1</x:v>
      </x:c>
      <x:c r="B2" s="2" t="str">
        <x:v>商品库、搜索、开封后保质期、自动消耗、实时教练回合制、妆容社区更新、产品使用分享、导购跳转</x:v>
      </x:c>
      <x:c r="C2" s="2" t="str">
        <x:v>建议 8-10 周完成主要开发，基础设施并行启动</x:v>
      </x:c>
      <x:c r="D2" s="2" t="str">
        <x:v>这些功能能直接补齐产品闭环：资产录入后可查、可管、可推荐、可社区化、可导购，技术风险可控。</x:v>
      </x:c>
    </x:row>
    <x:row r="3" ht="63" customHeight="1">
      <x:c r="A3" s="2" t="str">
        <x:v>V0.2</x:v>
      </x:c>
      <x:c r="B3" s="2" t="str">
        <x:v>OCR增强、余量视觉辅助、个性化成分、2.5D化妆台、自拍肤质报告、自定义模板库</x:v>
      </x:c>
      <x:c r="C3" s="2" t="str">
        <x:v>建议 10-12 周，按视觉/AI功能灰度开关逐项放量</x:v>
      </x:c>
      <x:c r="D3" s="2" t="str">
        <x:v>这些功能能明显提升体验和演示效果，但包含视觉/AI不确定性，因此都配置了人工确认或规则兜底。</x:v>
      </x:c>
    </x:row>
    <x:row r="4" ht="63" customHeight="1">
      <x:c r="A4" s="2" t="str">
        <x:v>跨版本基础设施</x:v>
      </x:c>
      <x:c r="B4" s="2" t="str">
        <x:v>埋点、匿名事件、漏斗、CSV导出</x:v>
      </x:c>
      <x:c r="C4" s="2" t="str">
        <x:v>第1-3周先做最小版本，后续每个功能接入事件</x:v>
      </x:c>
      <x:c r="D4" s="2" t="str">
        <x:v>没有数据就无法判断推荐、跟妆、社区和导购是否真的有效，且越早建越省返工。</x:v>
      </x:c>
    </x:row>
    <x:row r="5" ht="63" customHeight="1">
      <x:c r="A5" s="2" t="str">
        <x:v>V0.3</x:v>
      </x:c>
      <x:c r="B5" s="2" t="str">
        <x:v>暂不纳入</x:v>
      </x:c>
      <x:c r="C5" s="2" t="str">
        <x:v>暂缓</x:v>
      </x:c>
      <x:c r="D5" s="2" t="str">
        <x:v>芭比娃娃、AI个性化妆容生成、3D预览属于高创新和高成本项，当前先不估。</x:v>
      </x:c>
    </x:row>
  </x:sheetData>
  <x:pageMargins left="0.7" right="0.7" top="0.75" bottom="0.75" header="0.3" footer="0.3"/>
  <x:tableParts count="1">
    <x:tablePart xmlns:r="http://schemas.openxmlformats.org/officeDocument/2006/relationships" r:id="Re4e31da23b144c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28.940000534057617" hidden="0" customWidth="1"/>
    <x:col min="3" max="3" width="69.30999755859375" hidden="0" customWidth="1"/>
    <x:col min="4" max="4" width="55.849998474121094" hidden="0" customWidth="1"/>
  </x:cols>
  <x:sheetData>
    <x:row r="1">
      <x:c r="A1" s="5" t="str">
        <x:v>类别</x:v>
      </x:c>
      <x:c r="B1" s="5" t="str">
        <x:v>来源</x:v>
      </x:c>
      <x:c r="C1" s="5" t="str">
        <x:v>链接</x:v>
      </x:c>
      <x:c r="D1" s="5" t="str">
        <x:v>用于判断</x:v>
      </x:c>
    </x:row>
    <x:row r="2">
      <x:c r="A2" s="2" t="str">
        <x:v>移动端扫码/相机</x:v>
      </x:c>
      <x:c r="B2" s="2" t="str">
        <x:v>Expo Camera 文档</x:v>
      </x:c>
      <x:c r="C2" s="2" t="str">
        <x:v>https://docs.expo.dev/versions/latest/sdk/camera/</x:v>
      </x:c>
      <x:c r="D2" s="2" t="str">
        <x:v>CameraView 支持拍照、录像和条码检测。</x:v>
      </x:c>
    </x:row>
    <x:row r="3">
      <x:c r="A3" s="2" t="str">
        <x:v>移动端实时帧</x:v>
      </x:c>
      <x:c r="B3" s="2" t="str">
        <x:v>VisionCamera Frame Output</x:v>
      </x:c>
      <x:c r="C3" s="2" t="str">
        <x:v>https://visioncamera.margelo.com/docs/frame-output</x:v>
      </x:c>
      <x:c r="D3" s="2" t="str">
        <x:v>实时帧处理、worklet、像素格式和帧释放要求。</x:v>
      </x:c>
    </x:row>
    <x:row r="4">
      <x:c r="A4" s="2" t="str">
        <x:v>条码扫描</x:v>
      </x:c>
      <x:c r="B4" s="2" t="str">
        <x:v>VisionCamera Barcode Scanner</x:v>
      </x:c>
      <x:c r="C4" s="2" t="str">
        <x:v>https://visioncamera.margelo.com/docs/barcode-scanner</x:v>
      </x:c>
      <x:c r="D4" s="2" t="str">
        <x:v>基于 ML Kit 的跨 iOS/Android 条码扫描能力。</x:v>
      </x:c>
    </x:row>
    <x:row r="5">
      <x:c r="A5" s="2" t="str">
        <x:v>条码扫描</x:v>
      </x:c>
      <x:c r="B5" s="2" t="str">
        <x:v>Google ML Kit Barcode Scanning</x:v>
      </x:c>
      <x:c r="C5" s="2" t="str">
        <x:v>https://developers.google.com/ml-kit/vision/barcode-scanning</x:v>
      </x:c>
      <x:c r="D5" s="2" t="str">
        <x:v>端侧条码识别、支持格式和限制。</x:v>
      </x:c>
    </x:row>
    <x:row r="6">
      <x:c r="A6" s="2" t="str">
        <x:v>OCR</x:v>
      </x:c>
      <x:c r="B6" s="2" t="str">
        <x:v>Google ML Kit Text Recognition v2</x:v>
      </x:c>
      <x:c r="C6" s="2" t="str">
        <x:v>https://developers.google.com/ml-kit/vision/text-recognition/v2</x:v>
      </x:c>
      <x:c r="D6" s="2" t="str">
        <x:v>移动端文字识别路线参考。</x:v>
      </x:c>
    </x:row>
    <x:row r="7">
      <x:c r="A7" s="2" t="str">
        <x:v>人脸关键点</x:v>
      </x:c>
      <x:c r="B7" s="2" t="str">
        <x:v>MediaPipe Face Landmarker</x:v>
      </x:c>
      <x:c r="C7" s="2" t="str">
        <x:v>https://ai.google.dev/edge/mediapipe/solutions/vision/face_landmarker/ios</x:v>
      </x:c>
      <x:c r="D7" s="2" t="str">
        <x:v>人脸 landmark/表情检测路线参考。</x:v>
      </x:c>
    </x:row>
    <x:row r="8">
      <x:c r="A8" s="2" t="str">
        <x:v>3D 渲染</x:v>
      </x:c>
      <x:c r="B8" s="2" t="str">
        <x:v>Three.js Docs</x:v>
      </x:c>
      <x:c r="C8" s="2" t="str">
        <x:v>https://threejs.org/docs/</x:v>
      </x:c>
      <x:c r="D8" s="2" t="str">
        <x:v>Web 端 3D 场景、材质、灯光和渲染路线参考。</x:v>
      </x:c>
    </x:row>
    <x:row r="9">
      <x:c r="A9" s="2" t="str">
        <x:v>模糊搜索</x:v>
      </x:c>
      <x:c r="B9" s="2" t="str">
        <x:v>PostgreSQL pg_trgm</x:v>
      </x:c>
      <x:c r="C9" s="2" t="str">
        <x:v>https://www.postgresql.org/docs/17/pgtrgm.html</x:v>
      </x:c>
      <x:c r="D9" s="2" t="str">
        <x:v>三元组相似度和索引支持。</x:v>
      </x:c>
    </x:row>
    <x:row r="10">
      <x:c r="A10" s="2" t="str">
        <x:v>全文搜索</x:v>
      </x:c>
      <x:c r="B10" s="2" t="str">
        <x:v>PostgreSQL Full Text Search</x:v>
      </x:c>
      <x:c r="C10" s="2" t="str">
        <x:v>https://www.postgresql.org/docs/current/datatype-textsearch.html</x:v>
      </x:c>
      <x:c r="D10" s="2" t="str">
        <x:v>tsvector/tsquery 检索能力。</x:v>
      </x:c>
    </x:row>
    <x:row r="11">
      <x:c r="A11" s="2" t="str">
        <x:v>向量检索</x:v>
      </x:c>
      <x:c r="B11" s="2" t="str">
        <x:v>pgvector</x:v>
      </x:c>
      <x:c r="C11" s="2" t="str">
        <x:v>https://github.com/pgvector/pgvector</x:v>
      </x:c>
      <x:c r="D11" s="2" t="str">
        <x:v>Postgres 向量相似度检索扩展。</x:v>
      </x:c>
    </x:row>
    <x:row r="12">
      <x:c r="A12" s="2" t="str">
        <x:v>商品/条码数据</x:v>
      </x:c>
      <x:c r="B12" s="2" t="str">
        <x:v>Open Food Facts Product Opener API</x:v>
      </x:c>
      <x:c r="C12" s="2" t="str">
        <x:v>https://openfoodfacts.github.io/documentation/docs/Product-Opener/api/</x:v>
      </x:c>
      <x:c r="D12" s="2" t="str">
        <x:v>Open Beauty Facts/Product Opener 数据接口参考。</x:v>
      </x:c>
    </x:row>
    <x:row r="13">
      <x:c r="A13" s="2" t="str">
        <x:v>成分数据</x:v>
      </x:c>
      <x:c r="B13" s="2" t="str">
        <x:v>European Commission CosIng</x:v>
      </x:c>
      <x:c r="C13" s="2" t="str">
        <x:v>https://single-market-economy.ec.europa.eu/sectors/cosmetics/cosmetic-ingredient-database_en</x:v>
      </x:c>
      <x:c r="D13" s="2" t="str">
        <x:v>化妆品成分名和法规信息来源。</x:v>
      </x:c>
    </x:row>
    <x:row r="14">
      <x:c r="A14" s="2" t="str">
        <x:v>成分/标签合规</x:v>
      </x:c>
      <x:c r="B14" s="2" t="str">
        <x:v>FDA Cosmetics Labeling Regulations</x:v>
      </x:c>
      <x:c r="C14" s="2" t="str">
        <x:v>https://www.fda.gov/cosmetics/cosmetics-labeling/cosmetics-labeling-regulations</x:v>
      </x:c>
      <x:c r="D14" s="2" t="str">
        <x:v>成分标签和合规措辞参考。</x:v>
      </x:c>
    </x:row>
    <x:row r="15">
      <x:c r="A15" s="2" t="str">
        <x:v>结构化 LLM 输出</x:v>
      </x:c>
      <x:c r="B15" s="2" t="str">
        <x:v>OpenAI Structured Outputs</x:v>
      </x:c>
      <x:c r="C15" s="2" t="str">
        <x:v>https://platform.openai.com/docs/guides/structured-outputs</x:v>
      </x:c>
      <x:c r="D15" s="2" t="str">
        <x:v>JSON Schema/结构化模型输出思路。</x:v>
      </x:c>
    </x:row>
    <x:row r="16">
      <x:c r="A16" s="2" t="str">
        <x:v>实时语音</x:v>
      </x:c>
      <x:c r="B16" s="2" t="str">
        <x:v>OpenAI Realtime API</x:v>
      </x:c>
      <x:c r="C16" s="2" t="str">
        <x:v>https://platform.openai.com/docs/api-reference/realtime</x:v>
      </x:c>
      <x:c r="D16" s="2" t="str">
        <x:v>实时语音/音频交互路线参考，实际可替换为 OpenAI-compatible/Qwen。</x:v>
      </x:c>
    </x:row>
    <x:row r="17">
      <x:c r="A17" s="2" t="str">
        <x:v>埋点/观测</x:v>
      </x:c>
      <x:c r="B17" s="2" t="str">
        <x:v>OpenTelemetry Semantic Conventions</x:v>
      </x:c>
      <x:c r="C17" s="2" t="str">
        <x:v>https://opentelemetry.io/docs/concepts/semantic-conventions/</x:v>
      </x:c>
      <x:c r="D17" s="2" t="str">
        <x:v>事件、日志、指标、链路命名规范参考。</x:v>
      </x:c>
    </x:row>
    <x:row r="18">
      <x:c r="A18" s="2" t="str">
        <x:v>商城</x:v>
      </x:c>
      <x:c r="B18" s="2" t="str">
        <x:v>Shopify Storefront API</x:v>
      </x:c>
      <x:c r="C18" s="2" t="str">
        <x:v>https://shopify.dev/docs/storefronts/headless/building-with-the-storefront-api</x:v>
      </x:c>
      <x:c r="D18" s="2" t="str">
        <x:v>商品展示、购物车和结算能力参考。</x:v>
      </x:c>
    </x:row>
    <x:row r="19">
      <x:c r="A19" s="2" t="str">
        <x:v>商城</x:v>
      </x:c>
      <x:c r="B19" s="2" t="str">
        <x:v>Amazon Product Advertising API</x:v>
      </x:c>
      <x:c r="C19" s="2" t="str">
        <x:v>https://webservices.amazon.com/paapi5/documentation/quick-start/operations-and-resources.html</x:v>
      </x:c>
      <x:c r="D19" s="2" t="str">
        <x:v>商品搜索、图片、价格/offer 等联盟接口参考；注意迁移和资质限制。</x:v>
      </x:c>
    </x:row>
  </x:sheetData>
  <x:pageMargins left="0.7" right="0.7" top="0.75" bottom="0.75" header="0.3" footer="0.3"/>
  <x:tableParts count="1">
    <x:tablePart xmlns:r="http://schemas.openxmlformats.org/officeDocument/2006/relationships" r:id="R87ad3c8d63ab4f93"/>
  </x:tableParts>
</x:worksheet>
</file>