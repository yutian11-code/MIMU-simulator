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a7d63086a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口径" sheetId="1" r:id="R08b6325ebbda4496"/>
    <x:sheet xmlns:r="http://schemas.openxmlformats.org/officeDocument/2006/relationships" name="版本预算汇总" sheetId="2" r:id="R05cc9286ddc24a22"/>
    <x:sheet xmlns:r="http://schemas.openxmlformats.org/officeDocument/2006/relationships" name="功能预算明细" sheetId="3" r:id="R5b8c200cf21a4daa"/>
    <x:sheet xmlns:r="http://schemas.openxmlformats.org/officeDocument/2006/relationships" name="测试预算明细" sheetId="4" r:id="R45a38b4b52814b58"/>
    <x:sheet xmlns:r="http://schemas.openxmlformats.org/officeDocument/2006/relationships" name="技术路线原表" sheetId="5" r:id="R88f58a2a1b884232"/>
    <x:sheet xmlns:r="http://schemas.openxmlformats.org/officeDocument/2006/relationships" name="调研来源" sheetId="6" r:id="R6a313307f76943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¥&quot;#,##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4874CB"/>
      </x:patternFill>
    </x:fill>
    <x:fill>
      <x:patternFill patternType="solid">
        <x:fgColor rgb="FFF2CC"/>
      </x:patternFill>
    </x:fill>
    <x:fill>
      <x:patternFill patternType="solid">
        <x:fgColor rgb="EAF2F8"/>
      </x:patternFill>
    </x:fill>
    <x:fill>
      <x:patternFill patternType="solid">
        <x:fgColor rgb="FFFFFF"/>
      </x:patternFill>
    </x:fill>
    <x:fill>
      <x:patternFill patternType="solid">
        <x:fgColor rgb="F8FBFF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74f14b169438a" /><Relationship Type="http://schemas.openxmlformats.org/officeDocument/2006/relationships/theme" Target="/xl/theme/theme1.xml" Id="R9c569114545a4f34" /><Relationship Type="http://schemas.openxmlformats.org/officeDocument/2006/relationships/sharedStrings" Target="/xl/sharedStrings.xml" Id="R57d8ad0adedb4f8a" /><Relationship Type="http://schemas.openxmlformats.org/officeDocument/2006/relationships/worksheet" Target="/xl/worksheets/sheet1.xml" Id="R08b6325ebbda4496" /><Relationship Type="http://schemas.openxmlformats.org/officeDocument/2006/relationships/worksheet" Target="/xl/worksheets/sheet2.xml" Id="R05cc9286ddc24a22" /><Relationship Type="http://schemas.openxmlformats.org/officeDocument/2006/relationships/worksheet" Target="/xl/worksheets/sheet3.xml" Id="R5b8c200cf21a4daa" /><Relationship Type="http://schemas.openxmlformats.org/officeDocument/2006/relationships/worksheet" Target="/xl/worksheets/sheet4.xml" Id="R45a38b4b52814b58" /><Relationship Type="http://schemas.openxmlformats.org/officeDocument/2006/relationships/worksheet" Target="/xl/worksheets/sheet5.xml" Id="R88f58a2a1b884232" /><Relationship Type="http://schemas.openxmlformats.org/officeDocument/2006/relationships/worksheet" Target="/xl/worksheets/sheet6.xml" Id="R6a313307f76943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c61c8a05944c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各上线版本预算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版本总预算</c:v>
          </c:tx>
          <c:cat>
            <c:strRef>
              <c:f>'版本预算汇总'!$L$3:$L$6</c:f>
              <c:strCache>
                <c:ptCount val="0"/>
              </c:strCache>
            </c:strRef>
          </c:cat>
          <c:val>
            <c:numRef>
              <c:f>'版本预算汇总'!$M$3:$M$6</c:f>
              <c:numCache>
                <c:formatCode>"¥"#,##0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7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c61c8a05944c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dgetAssumptions" displayName="BudgetAssumptions" ref="A1:C11" headerRowCount="1">
  <x:tableColumns count="3">
    <x:tableColumn id="1" name="项目"/>
    <x:tableColumn id="2" name="数值"/>
    <x:tableColumn id="3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VersionBudgetSummary" displayName="VersionBudgetSummary" ref="A2:J7" headerRowCount="1">
  <x:tableColumns count="10">
    <x:tableColumn id="1" name="上线版本"/>
    <x:tableColumn id="2" name="功能数"/>
    <x:tableColumn id="3" name="开发人日"/>
    <x:tableColumn id="4" name="测试人日"/>
    <x:tableColumn id="5" name="开发人力预算"/>
    <x:tableColumn id="6" name="开发外部预算"/>
    <x:tableColumn id="7" name="测试总预算"/>
    <x:tableColumn id="8" name="版本总预算"/>
    <x:tableColumn id="9" name="建议上线窗口"/>
    <x:tableColumn id="10" name="版本实践重点"/>
  </x:tableColumns>
  <x:tableStyleInfo name="TableStyleMedium4" showRowStripes="1"/>
</x:table>
</file>

<file path=xl/tables/table3.xml><?xml version="1.0" encoding="utf-8"?>
<x:table xmlns:x="http://schemas.openxmlformats.org/spreadsheetml/2006/main" id="3" name="FeatureBudgetDetail" displayName="FeatureBudgetDetail" ref="A4:R22" headerRowCount="1">
  <x:tableColumns count="18">
    <x:tableColumn id="1" name="序号"/>
    <x:tableColumn id="2" name="大目录"/>
    <x:tableColumn id="3" name="项目"/>
    <x:tableColumn id="4" name="功能"/>
    <x:tableColumn id="5" name="原阶段"/>
    <x:tableColumn id="6" name="推荐优先级"/>
    <x:tableColumn id="7" name="预计周期(周)"/>
    <x:tableColumn id="8" name="上线版本"/>
    <x:tableColumn id="9" name="开发人日"/>
    <x:tableColumn id="10" name="开发人力预算"/>
    <x:tableColumn id="11" name="开发外部预算"/>
    <x:tableColumn id="12" name="测试人日"/>
    <x:tableColumn id="13" name="测试人力预算"/>
    <x:tableColumn id="14" name="测试专项预算"/>
    <x:tableColumn id="15" name="测试总预算"/>
    <x:tableColumn id="16" name="功能总预算"/>
    <x:tableColumn id="17" name="实施实践"/>
    <x:tableColumn id="18" name="高难/平替备注"/>
  </x:tableColumns>
  <x:tableStyleInfo name="TableStyleMedium2" showRowStripes="1"/>
</x:table>
</file>

<file path=xl/tables/table4.xml><?xml version="1.0" encoding="utf-8"?>
<x:table xmlns:x="http://schemas.openxmlformats.org/spreadsheetml/2006/main" id="4" name="TestBudgetDetail" displayName="TestBudgetDetail" ref="A4:N22" headerRowCount="1">
  <x:tableColumns count="14">
    <x:tableColumn id="1" name="序号"/>
    <x:tableColumn id="2" name="功能"/>
    <x:tableColumn id="3" name="上线版本"/>
    <x:tableColumn id="4" name="单元/API测试人日"/>
    <x:tableColumn id="5" name="前端/E2E测试人日"/>
    <x:tableColumn id="6" name="数据/模型评测人日"/>
    <x:tableColumn id="7" name="兼容/性能测试人日"/>
    <x:tableColumn id="8" name="安全隐私/合规测试人日"/>
    <x:tableColumn id="9" name="UAT/回归测试人日"/>
    <x:tableColumn id="10" name="测试人日合计"/>
    <x:tableColumn id="11" name="测试人力预算"/>
    <x:tableColumn id="12" name="测试专项费用"/>
    <x:tableColumn id="13" name="测试总预算"/>
    <x:tableColumn id="14" name="测试实践与验收标准"/>
  </x:tableColumns>
  <x:tableStyleInfo name="TableStyleMedium7" showRowStripes="1"/>
</x:table>
</file>

<file path=xl/tables/table5.xml><?xml version="1.0" encoding="utf-8"?>
<x:table xmlns:x="http://schemas.openxmlformats.org/spreadsheetml/2006/main" id="5" name="TechnicalRouteOriginal" displayName="TechnicalRouteOriginal" ref="A1:N19" headerRowCount="1">
  <x:tableColumns count="14">
    <x:tableColumn id="1" name="序号"/>
    <x:tableColumn id="2" name="来源行"/>
    <x:tableColumn id="3" name="标黄列"/>
    <x:tableColumn id="4" name="大目录"/>
    <x:tableColumn id="5" name="项目"/>
    <x:tableColumn id="6" name="功能"/>
    <x:tableColumn id="7" name="说明"/>
    <x:tableColumn id="8" name="用户端操作"/>
    <x:tableColumn id="9" name="原表技术路线"/>
    <x:tableColumn id="10" name="执行人"/>
    <x:tableColumn id="11" name="负责人"/>
    <x:tableColumn id="12" name="阶段"/>
    <x:tableColumn id="13" name="MVP预计完成日期"/>
    <x:tableColumn id="14" name="技术路线"/>
  </x:tableColumns>
  <x:tableStyleInfo name="TableStyleMedium2" showRowStripes="1"/>
</x:table>
</file>

<file path=xl/tables/table6.xml><?xml version="1.0" encoding="utf-8"?>
<x:table xmlns:x="http://schemas.openxmlformats.org/spreadsheetml/2006/main" id="6" name="ResearchSources" displayName="ResearchSources" ref="A1:D19" headerRowCount="1">
  <x:tableColumns count="4">
    <x:tableColumn id="1" name="类别"/>
    <x:tableColumn id="2" name="来源"/>
    <x:tableColumn id="3" name="链接"/>
    <x:tableColumn id="4" name="用于判断"/>
  </x:tableColumns>
  <x:tableStyleInfo name="TableStyleMedium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29a3e0f50441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32d83ef9a6e4efc" /><Relationship Type="http://schemas.openxmlformats.org/officeDocument/2006/relationships/table" Target="/xl/tables/table2.xml" Id="Rb35989e9eed742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60747d9eca41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e6717d04954f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321089fbf5048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5c8405fd4ca4c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8.940000534057617" hidden="0" customWidth="1"/>
    <x:col min="3" max="3" width="90.8499984741211" hidden="0" customWidth="1"/>
  </x:cols>
  <x:sheetData>
    <x:row r="1" ht="22.5" customHeight="1">
      <x:c r="A1" s="5" t="str">
        <x:v>项目</x:v>
      </x:c>
      <x:c r="B1" s="5" t="str">
        <x:v>数值</x:v>
      </x:c>
      <x:c r="C1" s="5" t="str">
        <x:v>说明</x:v>
      </x:c>
    </x:row>
    <x:row r="2" ht="36" customHeight="1">
      <x:c r="A2" s="2" t="str">
        <x:v>开发综合人日单价</x:v>
      </x:c>
      <x:c r="B2" s="6" t="n">
        <x:v>1500</x:v>
      </x:c>
      <x:c r="C2" s="2" t="str">
        <x:v>人民币/人日；按 3 人开发团队内部机会成本估算，含前后端/后端/AI工程开发，不含公司管理费和税费。</x:v>
      </x:c>
    </x:row>
    <x:row r="3" ht="36" customHeight="1">
      <x:c r="A3" s="2" t="str">
        <x:v>测试综合人日单价</x:v>
      </x:c>
      <x:c r="B3" s="6" t="n">
        <x:v>1000</x:v>
      </x:c>
      <x:c r="C3" s="2" t="str">
        <x:v>人民币/人日；按开发自测+人工QA等效人日估算，含测试设计、执行、回归和缺陷复测。</x:v>
      </x:c>
    </x:row>
    <x:row r="4" ht="36" customHeight="1">
      <x:c r="A4" s="2" t="str">
        <x:v>团队容量</x:v>
      </x:c>
      <x:c r="B4" s="2" t="str">
        <x:v>3人，约15开发人日/周</x:v>
      </x:c>
      <x:c r="C4" s="2" t="str">
        <x:v>自然周排期考虑测试、联调、评审并行，不等同于人日直接相除。</x:v>
      </x:c>
    </x:row>
    <x:row r="5" ht="36" customHeight="1">
      <x:c r="A5" s="2" t="str">
        <x:v>预算币种</x:v>
      </x:c>
      <x:c r="B5" s="2" t="str">
        <x:v>人民币 CNY</x:v>
      </x:c>
      <x:c r="C5" s="2" t="str">
        <x:v>一次性建设预算；外部 API/云资源为开发测试期预留，不含正式商用后的持续消耗。</x:v>
      </x:c>
    </x:row>
    <x:row r="6" ht="36" customHeight="1">
      <x:c r="A6" s="2" t="str">
        <x:v>不包含项</x:v>
      </x:c>
      <x:c r="B6" s="2" t="str">
        <x:v>法务/IP授权/应用商店/正式云资源长期费用/真实用户补贴</x:v>
      </x:c>
      <x:c r="C6" s="2" t="str">
        <x:v>芭比、三丽鸥等 IP 授权成本不纳入，若做联名需单独商务预算。</x:v>
      </x:c>
    </x:row>
    <x:row r="7" ht="36" customHeight="1">
      <x:c r="A7" s="2" t="str">
        <x:v>第三方价格口径</x:v>
      </x:c>
      <x:c r="B7" s="2" t="str">
        <x:v>需上线前复核</x:v>
      </x:c>
      <x:c r="C7" s="2" t="str">
        <x:v>模型、OCR、云视觉、电商联盟 API 价格会变动，采购前以官方价格页为准。</x:v>
      </x:c>
    </x:row>
    <x:row r="8" ht="36" customHeight="1">
      <x:c r="A8" s="2" t="str">
        <x:v>关键外部价格源</x:v>
      </x:c>
      <x:c r="B8" s="2" t="str">
        <x:v>OpenAI API Pricing</x:v>
      </x:c>
      <x:c r="C8" s="2" t="str">
        <x:v>https://openai.com/api/pricing/</x:v>
      </x:c>
    </x:row>
    <x:row r="9" ht="36" customHeight="1">
      <x:c r="A9" s="2" t="str">
        <x:v>关键外部价格源</x:v>
      </x:c>
      <x:c r="B9" s="2" t="str">
        <x:v>Tencent Cloud OCR Pricing</x:v>
      </x:c>
      <x:c r="C9" s="2" t="str">
        <x:v>https://buy.intl.cloud.tencent.com/pricing/ocr</x:v>
      </x:c>
    </x:row>
    <x:row r="10" ht="36" customHeight="1">
      <x:c r="A10" s="2" t="str">
        <x:v>关键外部价格源</x:v>
      </x:c>
      <x:c r="B10" s="2" t="str">
        <x:v>Google Cloud Vision Pricing</x:v>
      </x:c>
      <x:c r="C10" s="2" t="str">
        <x:v>https://cloud.google.com/vision/pricing</x:v>
      </x:c>
    </x:row>
    <x:row r="11" ht="36" customHeight="1">
      <x:c r="A11" s="2" t="str">
        <x:v>关键外部价格源</x:v>
      </x:c>
      <x:c r="B11" s="2" t="str">
        <x:v>Shopify Storefront API</x:v>
      </x:c>
      <x:c r="C11" s="2" t="str">
        <x:v>https://shopify.dev/docs/storefronts/headless/building-with-the-storefront-api</x:v>
      </x:c>
    </x:row>
  </x:sheetData>
  <x:pageMargins left="0.7" right="0.7" top="0.75" bottom="0.75" header="0.3" footer="0.3"/>
  <x:tableParts count="1">
    <x:tablePart xmlns:r="http://schemas.openxmlformats.org/officeDocument/2006/relationships" r:id="Rf029a3e0f50441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70000076293945" hidden="0" customWidth="1"/>
    <x:col min="2" max="2" width="8.75" hidden="0" customWidth="1"/>
    <x:col min="3" max="3" width="10.09000015258789" hidden="0" customWidth="1"/>
    <x:col min="4" max="4" width="10.09000015258789" hidden="0" customWidth="1"/>
    <x:col min="5" max="5" width="15.479999542236328" hidden="0" customWidth="1"/>
    <x:col min="6" max="6" width="15.479999542236328" hidden="0" customWidth="1"/>
    <x:col min="7" max="7" width="15.479999542236328" hidden="0" customWidth="1"/>
    <x:col min="8" max="8" width="15.479999542236328" hidden="0" customWidth="1"/>
    <x:col min="9" max="9" width="22.209999084472656" hidden="0" customWidth="1"/>
    <x:col min="10" max="10" width="69.30999755859375" hidden="0" customWidth="1"/>
  </x:cols>
  <x:sheetData>
    <x:row r="1" ht="25.5" customHeight="1">
      <x:c r="A1" s="9" t="str">
        <x:v>MIMU 未完成功能分版本预算汇总</x:v>
      </x:c>
    </x:row>
    <x:row r="2" ht="25.5" customHeight="1">
      <x:c r="A2" s="12" t="str">
        <x:v>上线版本</x:v>
      </x:c>
      <x:c r="B2" s="12" t="str">
        <x:v>功能数</x:v>
      </x:c>
      <x:c r="C2" s="12" t="str">
        <x:v>开发人日</x:v>
      </x:c>
      <x:c r="D2" s="12" t="str">
        <x:v>测试人日</x:v>
      </x:c>
      <x:c r="E2" s="12" t="str">
        <x:v>开发人力预算</x:v>
      </x:c>
      <x:c r="F2" s="12" t="str">
        <x:v>开发外部预算</x:v>
      </x:c>
      <x:c r="G2" s="12" t="str">
        <x:v>测试总预算</x:v>
      </x:c>
      <x:c r="H2" s="12" t="str">
        <x:v>版本总预算</x:v>
      </x:c>
      <x:c r="I2" s="12" t="str">
        <x:v>建议上线窗口</x:v>
      </x:c>
      <x:c r="J2" s="12" t="str">
        <x:v>版本实践重点</x:v>
      </x:c>
      <x:c r="L2" t="str">
        <x:v>上线版本</x:v>
      </x:c>
      <x:c r="M2" t="str">
        <x:v>版本总预算</x:v>
      </x:c>
    </x:row>
    <x:row r="3" ht="43.5" customHeight="1">
      <x:c r="A3" s="2" t="str">
        <x:v>V0.1</x:v>
      </x:c>
      <x:c r="B3" s="2" t="n">
        <x:f>COUNTIF('功能预算明细'!$H$5:$H$22,A3)</x:f>
        <x:v>8</x:v>
      </x:c>
      <x:c r="C3" s="2" t="n">
        <x:f>SUMIF('功能预算明细'!$H$5:$H$22,A3,'功能预算明细'!$I$5:$I$22)</x:f>
        <x:v>148</x:v>
      </x:c>
      <x:c r="D3" s="2" t="n">
        <x:f>SUMIF('功能预算明细'!$H$5:$H$22,A3,'功能预算明细'!$L$5:$L$22)</x:f>
        <x:v>87</x:v>
      </x:c>
      <x:c r="E3" s="6" t="n">
        <x:f>SUMIF('功能预算明细'!$H$5:$H$22,A3,'功能预算明细'!$J$5:$J$22)</x:f>
        <x:v>222000</x:v>
      </x:c>
      <x:c r="F3" s="6" t="n">
        <x:f>SUMIF('功能预算明细'!$H$5:$H$22,A3,'功能预算明细'!$K$5:$K$22)</x:f>
        <x:v>31000</x:v>
      </x:c>
      <x:c r="G3" s="6" t="n">
        <x:f>SUMIF('功能预算明细'!$H$5:$H$22,A3,'功能预算明细'!$O$5:$O$22)</x:f>
        <x:v>99000</x:v>
      </x:c>
      <x:c r="H3" s="6" t="n">
        <x:f>SUMIF('功能预算明细'!$H$5:$H$22,A3,'功能预算明细'!$P$5:$P$22)</x:f>
        <x:v>352000</x:v>
      </x:c>
      <x:c r="I3" s="2" t="str">
        <x:v>10-12周</x:v>
      </x:c>
      <x:c r="J3" s="2" t="str">
        <x:v>先补齐数据库、搜索、保质期、消耗、社区、导购和实时教练回合制能力，所有功能用 feature flag 灰度。</x:v>
      </x:c>
      <x:c r="L3" t="str">
        <x:v>V0.1</x:v>
      </x:c>
      <x:c r="M3" s="17" t="n">
        <x:f>H3</x:f>
        <x:v>352000</x:v>
      </x:c>
    </x:row>
    <x:row r="4" ht="43.5" customHeight="1">
      <x:c r="A4" s="2" t="str">
        <x:v>V0.2</x:v>
      </x:c>
      <x:c r="B4" s="2" t="n">
        <x:f>COUNTIF('功能预算明细'!$H$5:$H$22,A4)</x:f>
        <x:v>6</x:v>
      </x:c>
      <x:c r="C4" s="2" t="n">
        <x:f>SUMIF('功能预算明细'!$H$5:$H$22,A4,'功能预算明细'!$I$5:$I$22)</x:f>
        <x:v>171</x:v>
      </x:c>
      <x:c r="D4" s="2" t="n">
        <x:f>SUMIF('功能预算明细'!$H$5:$H$22,A4,'功能预算明细'!$L$5:$L$22)</x:f>
        <x:v>99</x:v>
      </x:c>
      <x:c r="E4" s="6" t="n">
        <x:f>SUMIF('功能预算明细'!$H$5:$H$22,A4,'功能预算明细'!$J$5:$J$22)</x:f>
        <x:v>256500</x:v>
      </x:c>
      <x:c r="F4" s="6" t="n">
        <x:f>SUMIF('功能预算明细'!$H$5:$H$22,A4,'功能预算明细'!$K$5:$K$22)</x:f>
        <x:v>44000</x:v>
      </x:c>
      <x:c r="G4" s="6" t="n">
        <x:f>SUMIF('功能预算明细'!$H$5:$H$22,A4,'功能预算明细'!$O$5:$O$22)</x:f>
        <x:v>125000</x:v>
      </x:c>
      <x:c r="H4" s="6" t="n">
        <x:f>SUMIF('功能预算明细'!$H$5:$H$22,A4,'功能预算明细'!$P$5:$P$22)</x:f>
        <x:v>425500</x:v>
      </x:c>
      <x:c r="I4" s="2" t="str">
        <x:v>12-14周</x:v>
      </x:c>
      <x:c r="J4" s="2" t="str">
        <x:v>重点做视觉/个性化增强：OCR 多品、余量视觉辅助、成分个性化、虚拟化妆台、肤质报告、自定义模板。</x:v>
      </x:c>
      <x:c r="L4" t="str">
        <x:v>V0.2</x:v>
      </x:c>
      <x:c r="M4" s="17" t="n">
        <x:f>H4</x:f>
        <x:v>425500</x:v>
      </x:c>
    </x:row>
    <x:row r="5" ht="43.5" customHeight="1">
      <x:c r="A5" s="2" t="str">
        <x:v>V0.3</x:v>
      </x:c>
      <x:c r="B5" s="2" t="n">
        <x:f>COUNTIF('功能预算明细'!$H$5:$H$22,A5)</x:f>
        <x:v>3</x:v>
      </x:c>
      <x:c r="C5" s="2" t="n">
        <x:f>SUMIF('功能预算明细'!$H$5:$H$22,A5,'功能预算明细'!$I$5:$I$22)</x:f>
        <x:v>154</x:v>
      </x:c>
      <x:c r="D5" s="2" t="n">
        <x:f>SUMIF('功能预算明细'!$H$5:$H$22,A5,'功能预算明细'!$L$5:$L$22)</x:f>
        <x:v>75</x:v>
      </x:c>
      <x:c r="E5" s="6" t="n">
        <x:f>SUMIF('功能预算明细'!$H$5:$H$22,A5,'功能预算明细'!$J$5:$J$22)</x:f>
        <x:v>231000</x:v>
      </x:c>
      <x:c r="F5" s="6" t="n">
        <x:f>SUMIF('功能预算明细'!$H$5:$H$22,A5,'功能预算明细'!$K$5:$K$22)</x:f>
        <x:v>71000</x:v>
      </x:c>
      <x:c r="G5" s="6" t="n">
        <x:f>SUMIF('功能预算明细'!$H$5:$H$22,A5,'功能预算明细'!$O$5:$O$22)</x:f>
        <x:v>99000</x:v>
      </x:c>
      <x:c r="H5" s="6" t="n">
        <x:f>SUMIF('功能预算明细'!$H$5:$H$22,A5,'功能预算明细'!$P$5:$P$22)</x:f>
        <x:v>401000</x:v>
      </x:c>
      <x:c r="I5" s="2" t="str">
        <x:v>16-20周</x:v>
      </x:c>
      <x:c r="J5" s="2" t="str">
        <x:v>高风险创新能力先原型验证：Avatar/娃娃、AI个性化妆容生成、3D/AR妆效预览，保留2D平替上线策略。</x:v>
      </x:c>
      <x:c r="L5" t="str">
        <x:v>V0.3</x:v>
      </x:c>
      <x:c r="M5" s="17" t="n">
        <x:f>H5</x:f>
        <x:v>401000</x:v>
      </x:c>
    </x:row>
    <x:row r="6" ht="43.5" customHeight="1">
      <x:c r="A6" s="2" t="str">
        <x:v>跨版本基础设施</x:v>
      </x:c>
      <x:c r="B6" s="2" t="n">
        <x:f>COUNTIF('功能预算明细'!$H$5:$H$22,A6)</x:f>
        <x:v>1</x:v>
      </x:c>
      <x:c r="C6" s="2" t="n">
        <x:f>SUMIF('功能预算明细'!$H$5:$H$22,A6,'功能预算明细'!$I$5:$I$22)</x:f>
        <x:v>24</x:v>
      </x:c>
      <x:c r="D6" s="2" t="n">
        <x:f>SUMIF('功能预算明细'!$H$5:$H$22,A6,'功能预算明细'!$L$5:$L$22)</x:f>
        <x:v>14</x:v>
      </x:c>
      <x:c r="E6" s="6" t="n">
        <x:f>SUMIF('功能预算明细'!$H$5:$H$22,A6,'功能预算明细'!$J$5:$J$22)</x:f>
        <x:v>36000</x:v>
      </x:c>
      <x:c r="F6" s="6" t="n">
        <x:f>SUMIF('功能预算明细'!$H$5:$H$22,A6,'功能预算明细'!$K$5:$K$22)</x:f>
        <x:v>4000</x:v>
      </x:c>
      <x:c r="G6" s="6" t="n">
        <x:f>SUMIF('功能预算明细'!$H$5:$H$22,A6,'功能预算明细'!$O$5:$O$22)</x:f>
        <x:v>16000</x:v>
      </x:c>
      <x:c r="H6" s="6" t="n">
        <x:f>SUMIF('功能预算明细'!$H$5:$H$22,A6,'功能预算明细'!$P$5:$P$22)</x:f>
        <x:v>56000</x:v>
      </x:c>
      <x:c r="I6" s="2" t="str">
        <x:v>2-3周启动，持续迭代</x:v>
      </x:c>
      <x:c r="J6" s="2" t="str">
        <x:v>埋点、匿名事件、漏斗统计、隐私字段拦截和数据导出作为全部版本的基础设施。</x:v>
      </x:c>
      <x:c r="L6" t="str">
        <x:v>跨版本基础设施</x:v>
      </x:c>
      <x:c r="M6" s="17" t="n">
        <x:f>H6</x:f>
        <x:v>56000</x:v>
      </x:c>
    </x:row>
    <x:row r="7" ht="43.5" customHeight="1">
      <x:c r="A7" s="15" t="str">
        <x:v>合计</x:v>
      </x:c>
      <x:c r="B7" s="15" t="n">
        <x:f>SUM(B3:B6)</x:f>
        <x:v>18</x:v>
      </x:c>
      <x:c r="C7" s="15" t="n">
        <x:f>SUM(C3:C6)</x:f>
        <x:v>497</x:v>
      </x:c>
      <x:c r="D7" s="15" t="n">
        <x:f>SUM(D3:D6)</x:f>
        <x:v>275</x:v>
      </x:c>
      <x:c r="E7" s="16" t="n">
        <x:f>SUM(E3:E6)</x:f>
        <x:v>745500</x:v>
      </x:c>
      <x:c r="F7" s="16" t="n">
        <x:f>SUM(F3:F6)</x:f>
        <x:v>150000</x:v>
      </x:c>
      <x:c r="G7" s="16" t="n">
        <x:f>SUM(G3:G6)</x:f>
        <x:v>339000</x:v>
      </x:c>
      <x:c r="H7" s="16" t="n">
        <x:f>SUM(H3:H6)</x:f>
        <x:v>1234500</x:v>
      </x:c>
      <x:c r="I7" s="15" t="str">
        <x:v>约40-48周分阶段</x:v>
      </x:c>
      <x:c r="J7" s="15" t="str">
        <x:v>按3人团队估算，测试与联调并行；高难项若采用平替可压缩V0.3风险。</x:v>
      </x:c>
    </x:row>
    <x:row r="8" ht="43.5" customHeight="1"/>
  </x:sheetData>
  <x:mergeCells>
    <x:mergeCell ref="A1:J1"/>
  </x:mergeCells>
  <x:pageMargins left="0.7" right="0.7" top="0.75" bottom="0.75" header="0.3" footer="0.3"/>
  <x:drawing xmlns:r="http://schemas.openxmlformats.org/officeDocument/2006/relationships" r:id="R732d83ef9a6e4efc"/>
  <x:tableParts count="1">
    <x:tablePart xmlns:r="http://schemas.openxmlformats.org/officeDocument/2006/relationships" r:id="Rb35989e9eed742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90000152587891" hidden="0" customWidth="1"/>
    <x:col min="2" max="2" width="19.520000457763672" hidden="0" customWidth="1"/>
    <x:col min="3" max="3" width="15.479999542236328" hidden="0" customWidth="1"/>
    <x:col min="4" max="4" width="31.6299991607666" hidden="0" customWidth="1"/>
    <x:col min="5" max="5" width="12.109999656677246" hidden="0" customWidth="1"/>
    <x:col min="6" max="6" width="10.09000015258789" hidden="0" customWidth="1"/>
    <x:col min="7" max="7" width="11.170000076293945" hidden="0" customWidth="1"/>
    <x:col min="8" max="8" width="15.479999542236328" hidden="0" customWidth="1"/>
    <x:col min="9" max="9" width="10.09000015258789" hidden="0" customWidth="1"/>
    <x:col min="10" max="10" width="15.479999542236328" hidden="0" customWidth="1"/>
    <x:col min="11" max="11" width="15.479999542236328" hidden="0" customWidth="1"/>
    <x:col min="12" max="12" width="10.09000015258789" hidden="0" customWidth="1"/>
    <x:col min="13" max="13" width="15.479999542236328" hidden="0" customWidth="1"/>
    <x:col min="14" max="14" width="15.479999542236328" hidden="0" customWidth="1"/>
    <x:col min="15" max="15" width="15.479999542236328" hidden="0" customWidth="1"/>
    <x:col min="16" max="16" width="15.479999542236328" hidden="0" customWidth="1"/>
    <x:col min="17" max="17" width="55.849998474121094" hidden="0" customWidth="1"/>
    <x:col min="18" max="18" width="47.779998779296875" hidden="0" customWidth="1"/>
  </x:cols>
  <x:sheetData>
    <x:row r="1">
      <x:c r="A1" s="9" t="str">
        <x:v>MIMU 未完成功能预算与实践明细</x:v>
      </x:c>
    </x:row>
    <x:row r="2">
      <x:c r="A2" s="19" t="str">
        <x:v>预算按功能上线版本拆分，开发预算、测试预算和外部费用分开列；测试预算细项见“测试预算明细”。</x:v>
      </x:c>
    </x:row>
    <x:row r="4">
      <x:c r="A4" s="12" t="str">
        <x:v>序号</x:v>
      </x:c>
      <x:c r="B4" s="12" t="str">
        <x:v>大目录</x:v>
      </x:c>
      <x:c r="C4" s="12" t="str">
        <x:v>项目</x:v>
      </x:c>
      <x:c r="D4" s="12" t="str">
        <x:v>功能</x:v>
      </x:c>
      <x:c r="E4" s="12" t="str">
        <x:v>原阶段</x:v>
      </x:c>
      <x:c r="F4" s="12" t="str">
        <x:v>推荐优先级</x:v>
      </x:c>
      <x:c r="G4" s="12" t="str">
        <x:v>预计周期(周)</x:v>
      </x:c>
      <x:c r="H4" s="12" t="str">
        <x:v>上线版本</x:v>
      </x:c>
      <x:c r="I4" s="12" t="str">
        <x:v>开发人日</x:v>
      </x:c>
      <x:c r="J4" s="12" t="str">
        <x:v>开发人力预算</x:v>
      </x:c>
      <x:c r="K4" s="12" t="str">
        <x:v>开发外部预算</x:v>
      </x:c>
      <x:c r="L4" s="12" t="str">
        <x:v>测试人日</x:v>
      </x:c>
      <x:c r="M4" s="12" t="str">
        <x:v>测试人力预算</x:v>
      </x:c>
      <x:c r="N4" s="12" t="str">
        <x:v>测试专项预算</x:v>
      </x:c>
      <x:c r="O4" s="12" t="str">
        <x:v>测试总预算</x:v>
      </x:c>
      <x:c r="P4" s="12" t="str">
        <x:v>功能总预算</x:v>
      </x:c>
      <x:c r="Q4" s="12" t="str">
        <x:v>实施实践</x:v>
      </x:c>
      <x:c r="R4" s="12" t="str">
        <x:v>高难/平替备注</x:v>
      </x:c>
    </x:row>
    <x:row r="5" ht="72" customHeight="1">
      <x:c r="A5" s="20" t="n">
        <x:v>1</x:v>
      </x:c>
      <x:c r="B5" s="20" t="str">
        <x:v>一、美妆资产数字化</x:v>
      </x:c>
      <x:c r="C5" s="20" t="str">
        <x:v>产品录入</x:v>
      </x:c>
      <x:c r="D5" s="20" t="str">
        <x:v>OCR（产品核心识别入口，支持扫码、拍照、文字识别三种录入方式）</x:v>
      </x:c>
      <x:c r="E5" s="20" t="str">
        <x:v>V0.2</x:v>
      </x:c>
      <x:c r="F5" s="20" t="str">
        <x:v>P1</x:v>
      </x:c>
      <x:c r="G5" s="20" t="n">
        <x:v>4</x:v>
      </x:c>
      <x:c r="H5" s="20" t="str">
        <x:v>V0.2</x:v>
      </x:c>
      <x:c r="I5" s="20" t="n">
        <x:v>32</x:v>
      </x:c>
      <x:c r="J5" s="21" t="n">
        <x:f>I5*'预算口径'!$B$2</x:f>
        <x:v>48000</x:v>
      </x:c>
      <x:c r="K5" s="21" t="n">
        <x:v>6000</x:v>
      </x:c>
      <x:c r="L5" s="20" t="n">
        <x:v>19</x:v>
      </x:c>
      <x:c r="M5" s="21" t="n">
        <x:f>L5*'预算口径'!$B$3</x:f>
        <x:v>19000</x:v>
      </x:c>
      <x:c r="N5" s="21" t="n">
        <x:v>6000</x:v>
      </x:c>
      <x:c r="O5" s="21" t="n">
        <x:f>M5+N5</x:f>
        <x:v>25000</x:v>
      </x:c>
      <x:c r="P5" s="21" t="n">
        <x:f>J5+K5+O5</x:f>
        <x:v>79000</x:v>
      </x:c>
      <x:c r="Q5" s="20" t="str">
        <x:v>先上线单品引导拍摄、条码优先、OCR/VLM 补充和人工确认；一图多品以灰度开关上线，只面向内部样例集验证。</x:v>
      </x:c>
      <x:c r="R5" s="20" t="str">
        <x:v>高难点是一图多品和反光包装；平替为单品拍摄 + 手动确认。</x:v>
      </x:c>
    </x:row>
    <x:row r="6" ht="72" customHeight="1">
      <x:c r="A6" s="22" t="n">
        <x:v>2</x:v>
      </x:c>
      <x:c r="B6" s="22" t="str">
        <x:v>一、美妆资产数字化</x:v>
      </x:c>
      <x:c r="C6" s="22" t="str">
        <x:v>产品录入</x:v>
      </x:c>
      <x:c r="D6" s="22" t="str">
        <x:v>化妆品数据库构建</x:v>
      </x:c>
      <x:c r="E6" s="22" t="str">
        <x:v>V0.1</x:v>
      </x:c>
      <x:c r="F6" s="22" t="str">
        <x:v>P0</x:v>
      </x:c>
      <x:c r="G6" s="22" t="n">
        <x:v>3</x:v>
      </x:c>
      <x:c r="H6" s="22" t="str">
        <x:v>V0.1</x:v>
      </x:c>
      <x:c r="I6" s="22" t="n">
        <x:v>24</x:v>
      </x:c>
      <x:c r="J6" s="23" t="n">
        <x:f>I6*'预算口径'!$B$2</x:f>
        <x:v>36000</x:v>
      </x:c>
      <x:c r="K6" s="23" t="n">
        <x:v>6000</x:v>
      </x:c>
      <x:c r="L6" s="22" t="n">
        <x:v>13</x:v>
      </x:c>
      <x:c r="M6" s="23" t="n">
        <x:f>L6*'预算口径'!$B$3</x:f>
        <x:v>13000</x:v>
      </x:c>
      <x:c r="N6" s="23" t="n">
        <x:v>2000</x:v>
      </x:c>
      <x:c r="O6" s="23" t="n">
        <x:f>M6+N6</x:f>
        <x:v>15000</x:v>
      </x:c>
      <x:c r="P6" s="23" t="n">
        <x:f>J6+K6+O6</x:f>
        <x:v>57000</x:v>
      </x:c>
      <x:c r="Q6" s="22" t="str">
        <x:v>先建路演核心 SKU 种子库和导入审核流；用户确认过的产品进入待复核池，字段都带来源、置信度和更新时间。</x:v>
      </x:c>
      <x:c r="R6" s="22" t="str">
        <x:v>全球完整美妆数据库不可假设；平替为 200-500 个核心 SKU + 用户自建草稿。</x:v>
      </x:c>
    </x:row>
    <x:row r="7" ht="72" customHeight="1">
      <x:c r="A7" s="20" t="n">
        <x:v>3</x:v>
      </x:c>
      <x:c r="B7" s="20" t="str">
        <x:v>一、美妆资产数字化</x:v>
      </x:c>
      <x:c r="C7" s="20" t="str">
        <x:v>产品录入</x:v>
      </x:c>
      <x:c r="D7" s="20" t="str">
        <x:v>产品搜索</x:v>
      </x:c>
      <x:c r="E7" s="20" t="str">
        <x:v>V0.1</x:v>
      </x:c>
      <x:c r="F7" s="20" t="str">
        <x:v>P0</x:v>
      </x:c>
      <x:c r="G7" s="20" t="n">
        <x:v>2</x:v>
      </x:c>
      <x:c r="H7" s="20" t="str">
        <x:v>V0.1</x:v>
      </x:c>
      <x:c r="I7" s="20" t="n">
        <x:v>12</x:v>
      </x:c>
      <x:c r="J7" s="21" t="n">
        <x:f>I7*'预算口径'!$B$2</x:f>
        <x:v>18000</x:v>
      </x:c>
      <x:c r="K7" s="21" t="n">
        <x:v>0</x:v>
      </x:c>
      <x:c r="L7" s="20" t="n">
        <x:v>7</x:v>
      </x:c>
      <x:c r="M7" s="21" t="n">
        <x:f>L7*'预算口径'!$B$3</x:f>
        <x:v>7000</x:v>
      </x:c>
      <x:c r="N7" s="21" t="n">
        <x:v>0</x:v>
      </x:c>
      <x:c r="O7" s="21" t="n">
        <x:f>M7+N7</x:f>
        <x:v>7000</x:v>
      </x:c>
      <x:c r="P7" s="21" t="n">
        <x:f>J7+K7+O7</x:f>
        <x:v>25000</x:v>
      </x:c>
      <x:c r="Q7" s="20" t="str">
        <x:v>PostgreSQL pg_trgm + ILIKE + 手工 synonyms 先支撑中英混搜；后续再接 pgvector 语义召回。</x:v>
      </x:c>
      <x:c r="R7" s="20" t="str">
        <x:v>中文分词和跨语言别名需要持续维护；平替是手工 synonym 表。</x:v>
      </x:c>
    </x:row>
    <x:row r="8" ht="72" customHeight="1">
      <x:c r="A8" s="22" t="n">
        <x:v>4</x:v>
      </x:c>
      <x:c r="B8" s="22" t="str">
        <x:v>一、美妆资产数字化</x:v>
      </x:c>
      <x:c r="C8" s="22" t="str">
        <x:v>保质期（支持自定义）</x:v>
      </x:c>
      <x:c r="D8" s="22" t="str">
        <x:v>开封后保质期</x:v>
      </x:c>
      <x:c r="E8" s="22" t="str">
        <x:v>V0.1</x:v>
      </x:c>
      <x:c r="F8" s="22" t="str">
        <x:v>P0</x:v>
      </x:c>
      <x:c r="G8" s="22" t="n">
        <x:v>1</x:v>
      </x:c>
      <x:c r="H8" s="22" t="str">
        <x:v>V0.1</x:v>
      </x:c>
      <x:c r="I8" s="22" t="n">
        <x:v>8</x:v>
      </x:c>
      <x:c r="J8" s="23" t="n">
        <x:f>I8*'预算口径'!$B$2</x:f>
        <x:v>12000</x:v>
      </x:c>
      <x:c r="K8" s="23" t="n">
        <x:v>0</x:v>
      </x:c>
      <x:c r="L8" s="22" t="n">
        <x:v>6</x:v>
      </x:c>
      <x:c r="M8" s="23" t="n">
        <x:f>L8*'预算口径'!$B$3</x:f>
        <x:v>6000</x:v>
      </x:c>
      <x:c r="N8" s="23" t="n">
        <x:v>0</x:v>
      </x:c>
      <x:c r="O8" s="23" t="n">
        <x:f>M8+N8</x:f>
        <x:v>6000</x:v>
      </x:c>
      <x:c r="P8" s="23" t="n">
        <x:f>J8+K8+O8</x:f>
        <x:v>18000</x:v>
      </x:c>
      <x:c r="Q8" s="22" t="str">
        <x:v>集中在 UserProductsService 做开封状态、PAO、customExpiresAt 和提醒联动，前端只提供日期选择与撤销。</x:v>
      </x:c>
      <x:c r="R8" s="22" t="str">
        <x:v>低风险；规则缺失时明确显示估算。</x:v>
      </x:c>
    </x:row>
    <x:row r="9" ht="72" customHeight="1">
      <x:c r="A9" s="20" t="n">
        <x:v>5</x:v>
      </x:c>
      <x:c r="B9" s="20" t="str">
        <x:v>一、美妆资产数字化</x:v>
      </x:c>
      <x:c r="C9" s="20" t="str">
        <x:v>余量分析</x:v>
      </x:c>
      <x:c r="D9" s="20" t="str">
        <x:v>AI跟妆图片捕捉</x:v>
      </x:c>
      <x:c r="E9" s="20" t="str">
        <x:v>V0.2</x:v>
      </x:c>
      <x:c r="F9" s="20" t="str">
        <x:v>P2</x:v>
      </x:c>
      <x:c r="G9" s="20" t="n">
        <x:v>5</x:v>
      </x:c>
      <x:c r="H9" s="20" t="str">
        <x:v>V0.2</x:v>
      </x:c>
      <x:c r="I9" s="20" t="n">
        <x:v>35</x:v>
      </x:c>
      <x:c r="J9" s="21" t="n">
        <x:f>I9*'预算口径'!$B$2</x:f>
        <x:v>52500</x:v>
      </x:c>
      <x:c r="K9" s="21" t="n">
        <x:v>9000</x:v>
      </x:c>
      <x:c r="L9" s="20" t="n">
        <x:v>21</x:v>
      </x:c>
      <x:c r="M9" s="21" t="n">
        <x:f>L9*'预算口径'!$B$3</x:f>
        <x:v>21000</x:v>
      </x:c>
      <x:c r="N9" s="21" t="n">
        <x:v>6000</x:v>
      </x:c>
      <x:c r="O9" s="21" t="n">
        <x:f>M9+N9</x:f>
        <x:v>27000</x:v>
      </x:c>
      <x:c r="P9" s="21" t="n">
        <x:f>J9+K9+O9</x:f>
        <x:v>88500</x:v>
      </x:c>
      <x:c r="Q9" s="20" t="str">
        <x:v>先做“使用后弹出余量滑杆 + 相机辅助识别产品”；视觉余量只输出区间并要求用户确认，不承诺精确克数。</x:v>
      </x:c>
      <x:c r="R9" s="20" t="str">
        <x:v>高难视觉问题；平替为手动滑杆 + 视觉只做产品辅助识别。</x:v>
      </x:c>
    </x:row>
    <x:row r="10" ht="72" customHeight="1">
      <x:c r="A10" s="22" t="n">
        <x:v>6</x:v>
      </x:c>
      <x:c r="B10" s="22" t="str">
        <x:v>一、美妆资产数字化</x:v>
      </x:c>
      <x:c r="C10" s="22" t="str">
        <x:v>余量分析</x:v>
      </x:c>
      <x:c r="D10" s="22" t="str">
        <x:v>自动计算消耗量</x:v>
      </x:c>
      <x:c r="E10" s="22" t="str">
        <x:v>V0.1</x:v>
      </x:c>
      <x:c r="F10" s="22" t="str">
        <x:v>P1</x:v>
      </x:c>
      <x:c r="G10" s="22" t="n">
        <x:v>2</x:v>
      </x:c>
      <x:c r="H10" s="22" t="str">
        <x:v>V0.1</x:v>
      </x:c>
      <x:c r="I10" s="22" t="n">
        <x:v>14</x:v>
      </x:c>
      <x:c r="J10" s="23" t="n">
        <x:f>I10*'预算口径'!$B$2</x:f>
        <x:v>21000</x:v>
      </x:c>
      <x:c r="K10" s="23" t="n">
        <x:v>0</x:v>
      </x:c>
      <x:c r="L10" s="22" t="n">
        <x:v>9</x:v>
      </x:c>
      <x:c r="M10" s="23" t="n">
        <x:f>L10*'预算口径'!$B$3</x:f>
        <x:v>9000</x:v>
      </x:c>
      <x:c r="N10" s="23" t="n">
        <x:v>0</x:v>
      </x:c>
      <x:c r="O10" s="23" t="n">
        <x:f>M10+N10</x:f>
        <x:v>9000</x:v>
      </x:c>
      <x:c r="P10" s="23" t="n">
        <x:f>J10+K10+O10</x:f>
        <x:v>30000</x:v>
      </x:c>
      <x:c r="Q10" s="22" t="str">
        <x:v>按品类默认单次消耗 + 执行步骤完成记录自动扣减；用户修正反向校准个人使用速度。</x:v>
      </x:c>
      <x:c r="R10" s="22" t="str">
        <x:v>精确消耗不可保证；平替为规则估算。</x:v>
      </x:c>
    </x:row>
    <x:row r="11" ht="72" customHeight="1">
      <x:c r="A11" s="20" t="n">
        <x:v>7</x:v>
      </x:c>
      <x:c r="B11" s="20" t="str">
        <x:v>一、美妆资产数字化</x:v>
      </x:c>
      <x:c r="C11" s="20" t="str">
        <x:v>成分分析</x:v>
      </x:c>
      <x:c r="D11" s="20" t="str">
        <x:v>个性化成分分析</x:v>
      </x:c>
      <x:c r="E11" s="20" t="str">
        <x:v>V0.2</x:v>
      </x:c>
      <x:c r="F11" s="20" t="str">
        <x:v>P1</x:v>
      </x:c>
      <x:c r="G11" s="20" t="n">
        <x:v>3</x:v>
      </x:c>
      <x:c r="H11" s="20" t="str">
        <x:v>V0.2</x:v>
      </x:c>
      <x:c r="I11" s="20" t="n">
        <x:v>26</x:v>
      </x:c>
      <x:c r="J11" s="21" t="n">
        <x:f>I11*'预算口径'!$B$2</x:f>
        <x:v>39000</x:v>
      </x:c>
      <x:c r="K11" s="21" t="n">
        <x:v>8000</x:v>
      </x:c>
      <x:c r="L11" s="20" t="n">
        <x:v>15</x:v>
      </x:c>
      <x:c r="M11" s="21" t="n">
        <x:f>L11*'预算口径'!$B$3</x:f>
        <x:v>15000</x:v>
      </x:c>
      <x:c r="N11" s="21" t="n">
        <x:v>4000</x:v>
      </x:c>
      <x:c r="O11" s="21" t="n">
        <x:f>M11+N11</x:f>
        <x:v>19000</x:v>
      </x:c>
      <x:c r="P11" s="21" t="n">
        <x:f>J11+K11+O11</x:f>
        <x:v>66000</x:v>
      </x:c>
      <x:c r="Q11" s="20" t="str">
        <x:v>以确定性成分规则为主，LLM 只做可读说明；敏感肌、致痘、致敏、孕期等风险都要能追溯到规则或来源。</x:v>
      </x:c>
      <x:c r="R11" s="20" t="str">
        <x:v>风险标签需要专业维护；平替为基础成分解释 + 敏感肌提醒。</x:v>
      </x:c>
    </x:row>
    <x:row r="12" ht="72" customHeight="1">
      <x:c r="A12" s="22" t="n">
        <x:v>8</x:v>
      </x:c>
      <x:c r="B12" s="22" t="str">
        <x:v>一、美妆资产数字化</x:v>
      </x:c>
      <x:c r="C12" s="22" t="str">
        <x:v>化妆台</x:v>
      </x:c>
      <x:c r="D12" s="22" t="str">
        <x:v>化妆台展示</x:v>
      </x:c>
      <x:c r="E12" s="22" t="str">
        <x:v>V0.2</x:v>
      </x:c>
      <x:c r="F12" s="22" t="str">
        <x:v>P2</x:v>
      </x:c>
      <x:c r="G12" s="22" t="n">
        <x:v>4</x:v>
      </x:c>
      <x:c r="H12" s="22" t="str">
        <x:v>V0.2</x:v>
      </x:c>
      <x:c r="I12" s="22" t="n">
        <x:v>30</x:v>
      </x:c>
      <x:c r="J12" s="23" t="n">
        <x:f>I12*'预算口径'!$B$2</x:f>
        <x:v>45000</x:v>
      </x:c>
      <x:c r="K12" s="23" t="n">
        <x:v>8000</x:v>
      </x:c>
      <x:c r="L12" s="22" t="n">
        <x:v>14</x:v>
      </x:c>
      <x:c r="M12" s="23" t="n">
        <x:f>L12*'预算口径'!$B$3</x:f>
        <x:v>14000</x:v>
      </x:c>
      <x:c r="N12" s="23" t="n">
        <x:v>2000</x:v>
      </x:c>
      <x:c r="O12" s="23" t="n">
        <x:f>M12+N12</x:f>
        <x:v>16000</x:v>
      </x:c>
      <x:c r="P12" s="23" t="n">
        <x:f>J12+K12+O12</x:f>
        <x:v>69000</x:v>
      </x:c>
      <x:c r="Q12" s="22" t="str">
        <x:v>先做 2D/等距虚拟化妆台和可拖拽布局；主题皮肤作为配置和资产包，保留未来 3D 数据结构。</x:v>
      </x:c>
      <x:c r="R12" s="22" t="str">
        <x:v>真实 3D 和 IP 皮肤授权高风险；平替为 2D/2.5D 主题货架。</x:v>
      </x:c>
    </x:row>
    <x:row r="13" ht="72" customHeight="1">
      <x:c r="A13" s="20" t="n">
        <x:v>9</x:v>
      </x:c>
      <x:c r="B13" s="20" t="str">
        <x:v>一、美妆资产数字化</x:v>
      </x:c>
      <x:c r="C13" s="20" t="str">
        <x:v>用户资料</x:v>
      </x:c>
      <x:c r="D13" s="20" t="str">
        <x:v>用户基本信息</x:v>
      </x:c>
      <x:c r="E13" s="20" t="str">
        <x:v>V0.2</x:v>
      </x:c>
      <x:c r="F13" s="20" t="str">
        <x:v>P1</x:v>
      </x:c>
      <x:c r="G13" s="20" t="n">
        <x:v>3</x:v>
      </x:c>
      <x:c r="H13" s="20" t="str">
        <x:v>V0.2</x:v>
      </x:c>
      <x:c r="I13" s="20" t="n">
        <x:v>22</x:v>
      </x:c>
      <x:c r="J13" s="21" t="n">
        <x:f>I13*'预算口径'!$B$2</x:f>
        <x:v>33000</x:v>
      </x:c>
      <x:c r="K13" s="21" t="n">
        <x:v>10000</x:v>
      </x:c>
      <x:c r="L13" s="20" t="n">
        <x:v>17</x:v>
      </x:c>
      <x:c r="M13" s="21" t="n">
        <x:f>L13*'预算口径'!$B$3</x:f>
        <x:v>17000</x:v>
      </x:c>
      <x:c r="N13" s="21" t="n">
        <x:v>6000</x:v>
      </x:c>
      <x:c r="O13" s="21" t="n">
        <x:f>M13+N13</x:f>
        <x:v>23000</x:v>
      </x:c>
      <x:c r="P13" s="21" t="n">
        <x:f>J13+K13+O13</x:f>
        <x:v>66000</x:v>
      </x:c>
      <x:c r="Q13" s="20" t="str">
        <x:v>问卷画像为主，自拍 VLM 只给辅助观察；结果进入 UserConditionSnapshot，必须可由用户手动修正。</x:v>
      </x:c>
      <x:c r="R13" s="20" t="str">
        <x:v>单张自拍准确性受环境影响；平替为问卷主导 + 图片提示。</x:v>
      </x:c>
    </x:row>
    <x:row r="14" ht="72" customHeight="1">
      <x:c r="A14" s="22" t="n">
        <x:v>10</x:v>
      </x:c>
      <x:c r="B14" s="22" t="str">
        <x:v>二.AI 妆容生成与执行</x:v>
      </x:c>
      <x:c r="C14" s="22" t="str">
        <x:v>模版库</x:v>
      </x:c>
      <x:c r="D14" s="22" t="str">
        <x:v>自定义模板库</x:v>
      </x:c>
      <x:c r="E14" s="22" t="str">
        <x:v>V0.2</x:v>
      </x:c>
      <x:c r="F14" s="22" t="str">
        <x:v>P1</x:v>
      </x:c>
      <x:c r="G14" s="22" t="n">
        <x:v>3</x:v>
      </x:c>
      <x:c r="H14" s="22" t="str">
        <x:v>V0.2</x:v>
      </x:c>
      <x:c r="I14" s="22" t="n">
        <x:v>26</x:v>
      </x:c>
      <x:c r="J14" s="23" t="n">
        <x:f>I14*'预算口径'!$B$2</x:f>
        <x:v>39000</x:v>
      </x:c>
      <x:c r="K14" s="23" t="n">
        <x:v>3000</x:v>
      </x:c>
      <x:c r="L14" s="22" t="n">
        <x:v>13</x:v>
      </x:c>
      <x:c r="M14" s="23" t="n">
        <x:f>L14*'预算口径'!$B$3</x:f>
        <x:v>13000</x:v>
      </x:c>
      <x:c r="N14" s="23" t="n">
        <x:v>2000</x:v>
      </x:c>
      <x:c r="O14" s="23" t="n">
        <x:f>M14+N14</x:f>
        <x:v>15000</x:v>
      </x:c>
      <x:c r="P14" s="23" t="n">
        <x:f>J14+K14+O14</x:f>
        <x:v>57000</x:v>
      </x:c>
      <x:c r="Q14" s="22" t="str">
        <x:v>先支持官方模板另存、手动编辑、收藏和云端同步；上传图文自动拆步骤作为确认后保存的增强能力。</x:v>
      </x:c>
      <x:c r="R14" s="22" t="str">
        <x:v>用户上传图文自动结构化有误差；平替为手动编辑优先。</x:v>
      </x:c>
    </x:row>
    <x:row r="15" ht="72" customHeight="1">
      <x:c r="A15" s="20" t="n">
        <x:v>11</x:v>
      </x:c>
      <x:c r="B15" s="20" t="str">
        <x:v>二.AI 妆容生成与执行</x:v>
      </x:c>
      <x:c r="C15" s="20" t="str">
        <x:v>模版库</x:v>
      </x:c>
      <x:c r="D15" s="20" t="str">
        <x:v>芭比娃娃模式</x:v>
      </x:c>
      <x:c r="E15" s="20" t="str">
        <x:v>V0.3</x:v>
      </x:c>
      <x:c r="F15" s="20" t="str">
        <x:v>P3</x:v>
      </x:c>
      <x:c r="G15" s="20" t="n">
        <x:v>7</x:v>
      </x:c>
      <x:c r="H15" s="20" t="str">
        <x:v>V0.3</x:v>
      </x:c>
      <x:c r="I15" s="20" t="n">
        <x:v>55</x:v>
      </x:c>
      <x:c r="J15" s="21" t="n">
        <x:f>I15*'预算口径'!$B$2</x:f>
        <x:v>82500</x:v>
      </x:c>
      <x:c r="K15" s="21" t="n">
        <x:v>22000</x:v>
      </x:c>
      <x:c r="L15" s="20" t="n">
        <x:v>25</x:v>
      </x:c>
      <x:c r="M15" s="21" t="n">
        <x:f>L15*'预算口径'!$B$3</x:f>
        <x:v>25000</x:v>
      </x:c>
      <x:c r="N15" s="21" t="n">
        <x:v>8000</x:v>
      </x:c>
      <x:c r="O15" s="21" t="n">
        <x:f>M15+N15</x:f>
        <x:v>33000</x:v>
      </x:c>
      <x:c r="P15" s="21" t="n">
        <x:f>J15+K15+O15</x:f>
        <x:v>137500</x:v>
      </x:c>
      <x:c r="Q15" s="20" t="str">
        <x:v>先做 2D 纸娃娃/Avatar 图层系统，产品颜色映射到口红、眼影、腮红 layer；不使用未授权 IP。</x:v>
      </x:c>
      <x:c r="R15" s="20" t="str">
        <x:v>3D 娃娃和 IP 联名成本很高；平替为 2D Q版预设 + 色板换装。</x:v>
      </x:c>
    </x:row>
    <x:row r="16" ht="72" customHeight="1">
      <x:c r="A16" s="22" t="n">
        <x:v>12</x:v>
      </x:c>
      <x:c r="B16" s="22" t="str">
        <x:v>二.AI 妆容生成与执行</x:v>
      </x:c>
      <x:c r="C16" s="22" t="str">
        <x:v>AI妆容生成</x:v>
      </x:c>
      <x:c r="D16" s="22" t="str">
        <x:v>AI个性化妆容生成</x:v>
      </x:c>
      <x:c r="E16" s="22" t="str">
        <x:v>V0.3</x:v>
      </x:c>
      <x:c r="F16" s="22" t="str">
        <x:v>P1</x:v>
      </x:c>
      <x:c r="G16" s="22" t="n">
        <x:v>4</x:v>
      </x:c>
      <x:c r="H16" s="22" t="str">
        <x:v>V0.3</x:v>
      </x:c>
      <x:c r="I16" s="22" t="n">
        <x:v>34</x:v>
      </x:c>
      <x:c r="J16" s="23" t="n">
        <x:f>I16*'预算口径'!$B$2</x:f>
        <x:v>51000</x:v>
      </x:c>
      <x:c r="K16" s="23" t="n">
        <x:v>14000</x:v>
      </x:c>
      <x:c r="L16" s="22" t="n">
        <x:v>20</x:v>
      </x:c>
      <x:c r="M16" s="23" t="n">
        <x:f>L16*'预算口径'!$B$3</x:f>
        <x:v>20000</x:v>
      </x:c>
      <x:c r="N16" s="23" t="n">
        <x:v>6000</x:v>
      </x:c>
      <x:c r="O16" s="23" t="n">
        <x:f>M16+N16</x:f>
        <x:v>26000</x:v>
      </x:c>
      <x:c r="P16" s="23" t="n">
        <x:f>J16+K16+O16</x:f>
        <x:v>91000</x:v>
      </x:c>
      <x:c r="Q16" s="22" t="str">
        <x:v>在 makeup-templates 上做 intent parsing、模板检索、产品白名单匹配和缺失产品召回；LLM 输出必须过 schema 和规则校验。</x:v>
      </x:c>
      <x:c r="R16" s="22" t="str">
        <x:v>LLM 不直接决定最终方案；平替为规则匹配 + LLM 润色。</x:v>
      </x:c>
    </x:row>
    <x:row r="17" ht="72" customHeight="1">
      <x:c r="A17" s="20" t="n">
        <x:v>13</x:v>
      </x:c>
      <x:c r="B17" s="20" t="str">
        <x:v>二.AI 妆容生成与执行</x:v>
      </x:c>
      <x:c r="C17" s="20" t="str">
        <x:v>AI妆效预览</x:v>
      </x:c>
      <x:c r="D17" s="20" t="str">
        <x:v>3D预览</x:v>
      </x:c>
      <x:c r="E17" s="20" t="str">
        <x:v>V0.3</x:v>
      </x:c>
      <x:c r="F17" s="20" t="str">
        <x:v>P3</x:v>
      </x:c>
      <x:c r="G17" s="20" t="n">
        <x:v>8</x:v>
      </x:c>
      <x:c r="H17" s="20" t="str">
        <x:v>V0.3</x:v>
      </x:c>
      <x:c r="I17" s="20" t="n">
        <x:v>65</x:v>
      </x:c>
      <x:c r="J17" s="21" t="n">
        <x:f>I17*'预算口径'!$B$2</x:f>
        <x:v>97500</x:v>
      </x:c>
      <x:c r="K17" s="21" t="n">
        <x:v>35000</x:v>
      </x:c>
      <x:c r="L17" s="20" t="n">
        <x:v>30</x:v>
      </x:c>
      <x:c r="M17" s="21" t="n">
        <x:f>L17*'预算口径'!$B$3</x:f>
        <x:v>30000</x:v>
      </x:c>
      <x:c r="N17" s="21" t="n">
        <x:v>10000</x:v>
      </x:c>
      <x:c r="O17" s="21" t="n">
        <x:f>M17+N17</x:f>
        <x:v>40000</x:v>
      </x:c>
      <x:c r="P17" s="21" t="n">
        <x:f>J17+K17+O17</x:f>
        <x:v>172500</x:v>
      </x:c>
      <x:c r="Q17" s="20" t="str">
        <x:v>先延续 2D AI 预览 + 关键点贴片 + 强度滑杆；真实 3D face mesh 作为技术预研，不作为首个上线承诺。</x:v>
      </x:c>
      <x:c r="R17" s="20" t="str">
        <x:v>真实 3D 妆效高风险；平替为 2D AI 预览和轻量 AR mask。</x:v>
      </x:c>
    </x:row>
    <x:row r="18" ht="72" customHeight="1">
      <x:c r="A18" s="22" t="n">
        <x:v>14</x:v>
      </x:c>
      <x:c r="B18" s="22"/>
      <x:c r="C18" s="22"/>
      <x:c r="D18" s="22" t="str">
        <x:v>AI化妆师实时跟妆update</x:v>
      </x:c>
      <x:c r="E18" s="22" t="str">
        <x:v>V0.1</x:v>
      </x:c>
      <x:c r="F18" s="22" t="str">
        <x:v>P1</x:v>
      </x:c>
      <x:c r="G18" s="22" t="n">
        <x:v>4</x:v>
      </x:c>
      <x:c r="H18" s="22" t="str">
        <x:v>V0.1</x:v>
      </x:c>
      <x:c r="I18" s="22" t="n">
        <x:v>32</x:v>
      </x:c>
      <x:c r="J18" s="23" t="n">
        <x:f>I18*'预算口径'!$B$2</x:f>
        <x:v>48000</x:v>
      </x:c>
      <x:c r="K18" s="23" t="n">
        <x:v>12000</x:v>
      </x:c>
      <x:c r="L18" s="22" t="n">
        <x:v>23</x:v>
      </x:c>
      <x:c r="M18" s="23" t="n">
        <x:f>L18*'预算口径'!$B$3</x:f>
        <x:v>23000</x:v>
      </x:c>
      <x:c r="N18" s="23" t="n">
        <x:v>6000</x:v>
      </x:c>
      <x:c r="O18" s="23" t="n">
        <x:f>M18+N18</x:f>
        <x:v>29000</x:v>
      </x:c>
      <x:c r="P18" s="23" t="n">
        <x:f>J18+K18+O18</x:f>
        <x:v>89000</x:v>
      </x:c>
      <x:c r="Q18" s="22" t="str">
        <x:v>先做截图+语音的回合制修改；ASR 意图识别后生成 JSON Patch，校验后更新模板和步骤。</x:v>
      </x:c>
      <x:c r="R18" s="22" t="str">
        <x:v>实时视觉纠错高难；平替为回合制截图+语音修改。</x:v>
      </x:c>
    </x:row>
    <x:row r="19" ht="72" customHeight="1">
      <x:c r="A19" s="20" t="n">
        <x:v>15</x:v>
      </x:c>
      <x:c r="B19" s="20" t="str">
        <x:v>三.社区共享</x:v>
      </x:c>
      <x:c r="C19" s="20" t="str">
        <x:v>妆容社区</x:v>
      </x:c>
      <x:c r="D19" s="20" t="str">
        <x:v>妆容社区互动update</x:v>
      </x:c>
      <x:c r="E19" s="20" t="str">
        <x:v>V0.1</x:v>
      </x:c>
      <x:c r="F19" s="20" t="str">
        <x:v>P1</x:v>
      </x:c>
      <x:c r="G19" s="20" t="n">
        <x:v>2</x:v>
      </x:c>
      <x:c r="H19" s="20" t="str">
        <x:v>V0.1</x:v>
      </x:c>
      <x:c r="I19" s="20" t="n">
        <x:v>18</x:v>
      </x:c>
      <x:c r="J19" s="21" t="n">
        <x:f>I19*'预算口径'!$B$2</x:f>
        <x:v>27000</x:v>
      </x:c>
      <x:c r="K19" s="21" t="n">
        <x:v>2000</x:v>
      </x:c>
      <x:c r="L19" s="20" t="n">
        <x:v>9</x:v>
      </x:c>
      <x:c r="M19" s="21" t="n">
        <x:f>L19*'预算口径'!$B$3</x:f>
        <x:v>9000</x:v>
      </x:c>
      <x:c r="N19" s="21" t="n">
        <x:v>1000</x:v>
      </x:c>
      <x:c r="O19" s="21" t="n">
        <x:f>M19+N19</x:f>
        <x:v>10000</x:v>
      </x:c>
      <x:c r="P19" s="21" t="n">
        <x:f>J19+K19+O19</x:f>
        <x:v>39000</x:v>
      </x:c>
      <x:c r="Q19" s="20" t="str">
        <x:v>先做静态圈子、热度排序、置顶和达人标识；达人申请人工审核，后续再自动化。</x:v>
      </x:c>
      <x:c r="R19" s="20" t="str">
        <x:v>低到中风险；内容审核与排序口径要留后台开关。</x:v>
      </x:c>
    </x:row>
    <x:row r="20" ht="72" customHeight="1">
      <x:c r="A20" s="22" t="n">
        <x:v>16</x:v>
      </x:c>
      <x:c r="B20" s="22" t="str">
        <x:v>三.社区共享</x:v>
      </x:c>
      <x:c r="C20" s="22" t="str">
        <x:v>产品社区</x:v>
      </x:c>
      <x:c r="D20" s="22" t="str">
        <x:v>产品使用分享</x:v>
      </x:c>
      <x:c r="E20" s="22" t="str">
        <x:v>V0.1</x:v>
      </x:c>
      <x:c r="F20" s="22" t="str">
        <x:v>P1</x:v>
      </x:c>
      <x:c r="G20" s="22" t="n">
        <x:v>2</x:v>
      </x:c>
      <x:c r="H20" s="22" t="str">
        <x:v>V0.1</x:v>
      </x:c>
      <x:c r="I20" s="22" t="n">
        <x:v>16</x:v>
      </x:c>
      <x:c r="J20" s="23" t="n">
        <x:f>I20*'预算口径'!$B$2</x:f>
        <x:v>24000</x:v>
      </x:c>
      <x:c r="K20" s="23" t="n">
        <x:v>1000</x:v>
      </x:c>
      <x:c r="L20" s="22" t="n">
        <x:v>8</x:v>
      </x:c>
      <x:c r="M20" s="23" t="n">
        <x:f>L20*'预算口径'!$B$3</x:f>
        <x:v>8000</x:v>
      </x:c>
      <x:c r="N20" s="23" t="n">
        <x:v>1000</x:v>
      </x:c>
      <x:c r="O20" s="23" t="n">
        <x:f>M20+N20</x:f>
        <x:v>9000</x:v>
      </x:c>
      <x:c r="P20" s="23" t="n">
        <x:f>J20+K20+O20</x:f>
        <x:v>34000</x:v>
      </x:c>
      <x:c r="Q20" s="22" t="str">
        <x:v>把产品使用贴作为 postType=product_review，绑定 relatedProducts，在产品详情页和社区页都能筛选。</x:v>
      </x:c>
      <x:c r="R20" s="22" t="str">
        <x:v>低风险；先用普通社区帖扩展即可。</x:v>
      </x:c>
    </x:row>
    <x:row r="21" ht="72" customHeight="1">
      <x:c r="A21" s="20" t="n">
        <x:v>17</x:v>
      </x:c>
      <x:c r="B21" s="20" t="str">
        <x:v>四.补购导购与商业闭环</x:v>
      </x:c>
      <x:c r="C21" s="20" t="str">
        <x:v>化妆品商城</x:v>
      </x:c>
      <x:c r="D21" s="20" t="str">
        <x:v>商城搭建</x:v>
      </x:c>
      <x:c r="E21" s="20" t="str">
        <x:v>V0.1</x:v>
      </x:c>
      <x:c r="F21" s="20" t="str">
        <x:v>P2</x:v>
      </x:c>
      <x:c r="G21" s="20" t="n">
        <x:v>3</x:v>
      </x:c>
      <x:c r="H21" s="20" t="str">
        <x:v>V0.1</x:v>
      </x:c>
      <x:c r="I21" s="20" t="n">
        <x:v>24</x:v>
      </x:c>
      <x:c r="J21" s="21" t="n">
        <x:f>I21*'预算口径'!$B$2</x:f>
        <x:v>36000</x:v>
      </x:c>
      <x:c r="K21" s="21" t="n">
        <x:v>10000</x:v>
      </x:c>
      <x:c r="L21" s="20" t="n">
        <x:v>12</x:v>
      </x:c>
      <x:c r="M21" s="21" t="n">
        <x:f>L21*'预算口径'!$B$3</x:f>
        <x:v>12000</x:v>
      </x:c>
      <x:c r="N21" s="21" t="n">
        <x:v>2000</x:v>
      </x:c>
      <x:c r="O21" s="21" t="n">
        <x:f>M21+N21</x:f>
        <x:v>14000</x:v>
      </x:c>
      <x:c r="P21" s="21" t="n">
        <x:f>J21+K21+O21</x:f>
        <x:v>60000</x:v>
      </x:c>
      <x:c r="Q21" s="20" t="str">
        <x:v>先做导购跳转，不自建支付；维护精选链接、平台、价格、UTM 和点击追踪。</x:v>
      </x:c>
      <x:c r="R21" s="20" t="str">
        <x:v>电商 API 资质和售后责任复杂；平替为精选链接 + 跳转统计。</x:v>
      </x:c>
    </x:row>
    <x:row r="22" ht="72" customHeight="1">
      <x:c r="A22" s="22" t="n">
        <x:v>18</x:v>
      </x:c>
      <x:c r="B22" s="22" t="str">
        <x:v>四.补购导购与商业闭环</x:v>
      </x:c>
      <x:c r="C22" s="22" t="str">
        <x:v>B端数据洞察</x:v>
      </x:c>
      <x:c r="D22" s="22" t="str">
        <x:v>用户使用数据收集</x:v>
      </x:c>
      <x:c r="E22" s="22" t="str">
        <x:v>MVP+V0.1+V0.2</x:v>
      </x:c>
      <x:c r="F22" s="22" t="str">
        <x:v>P0</x:v>
      </x:c>
      <x:c r="G22" s="22" t="n">
        <x:v>3</x:v>
      </x:c>
      <x:c r="H22" s="22" t="str">
        <x:v>跨版本基础设施</x:v>
      </x:c>
      <x:c r="I22" s="22" t="n">
        <x:v>24</x:v>
      </x:c>
      <x:c r="J22" s="23" t="n">
        <x:f>I22*'预算口径'!$B$2</x:f>
        <x:v>36000</x:v>
      </x:c>
      <x:c r="K22" s="23" t="n">
        <x:v>4000</x:v>
      </x:c>
      <x:c r="L22" s="22" t="n">
        <x:v>14</x:v>
      </x:c>
      <x:c r="M22" s="23" t="n">
        <x:f>L22*'预算口径'!$B$3</x:f>
        <x:v>14000</x:v>
      </x:c>
      <x:c r="N22" s="23" t="n">
        <x:v>2000</x:v>
      </x:c>
      <x:c r="O22" s="23" t="n">
        <x:f>M22+N22</x:f>
        <x:v>16000</x:v>
      </x:c>
      <x:c r="P22" s="23" t="n">
        <x:f>J22+K22+O22</x:f>
        <x:v>56000</x:v>
      </x:c>
      <x:c r="Q22" s="22" t="str">
        <x:v>先建一方事件表和前端 track 封装，覆盖核心漏斗；V0.1/V0.2 持续补事件，不上传原始人脸/音频。</x:v>
      </x:c>
      <x:c r="R22" s="22" t="str">
        <x:v>隐私和口径治理是主要风险；平替为 Postgres 事件表 + CSV。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d460747d9eca41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90000152587891" hidden="0" customWidth="1"/>
    <x:col min="2" max="2" width="34.31999969482422" hidden="0" customWidth="1"/>
    <x:col min="3" max="3" width="15.479999542236328" hidden="0" customWidth="1"/>
    <x:col min="4" max="4" width="11.4399995803833" hidden="0" customWidth="1"/>
    <x:col min="5" max="5" width="12.109999656677246" hidden="0" customWidth="1"/>
    <x:col min="6" max="6" width="13.460000038146973" hidden="0" customWidth="1"/>
    <x:col min="7" max="7" width="13.460000038146973" hidden="0" customWidth="1"/>
    <x:col min="8" max="8" width="13.460000038146973" hidden="0" customWidth="1"/>
    <x:col min="9" max="9" width="13.460000038146973" hidden="0" customWidth="1"/>
    <x:col min="10" max="10" width="11.4399995803833" hidden="0" customWidth="1"/>
    <x:col min="11" max="11" width="14.130000114440918" hidden="0" customWidth="1"/>
    <x:col min="12" max="12" width="14.130000114440918" hidden="0" customWidth="1"/>
    <x:col min="13" max="13" width="14.130000114440918" hidden="0" customWidth="1"/>
    <x:col min="14" max="14" width="55.849998474121094" hidden="0" customWidth="1"/>
    <x:col min="15" max="15" width="2.0199999809265137" hidden="0" customWidth="1"/>
  </x:cols>
  <x:sheetData>
    <x:row r="1">
      <x:c r="A1" s="9" t="str">
        <x:v>MIMU 未完成功能测试预算明细</x:v>
      </x:c>
    </x:row>
    <x:row r="2">
      <x:c r="A2" s="19" t="str">
        <x:v>测试人日按类型拆分，测试专项费用包含测试数据标注、API 调用、设备/素材和模型评测预留。</x:v>
      </x:c>
    </x:row>
    <x:row r="4">
      <x:c r="A4" s="12" t="str">
        <x:v>序号</x:v>
      </x:c>
      <x:c r="B4" s="12" t="str">
        <x:v>功能</x:v>
      </x:c>
      <x:c r="C4" s="12" t="str">
        <x:v>上线版本</x:v>
      </x:c>
      <x:c r="D4" s="12" t="str">
        <x:v>单元/API测试人日</x:v>
      </x:c>
      <x:c r="E4" s="12" t="str">
        <x:v>前端/E2E测试人日</x:v>
      </x:c>
      <x:c r="F4" s="12" t="str">
        <x:v>数据/模型评测人日</x:v>
      </x:c>
      <x:c r="G4" s="12" t="str">
        <x:v>兼容/性能测试人日</x:v>
      </x:c>
      <x:c r="H4" s="12" t="str">
        <x:v>安全隐私/合规测试人日</x:v>
      </x:c>
      <x:c r="I4" s="12" t="str">
        <x:v>UAT/回归测试人日</x:v>
      </x:c>
      <x:c r="J4" s="12" t="str">
        <x:v>测试人日合计</x:v>
      </x:c>
      <x:c r="K4" s="12" t="str">
        <x:v>测试人力预算</x:v>
      </x:c>
      <x:c r="L4" s="12" t="str">
        <x:v>测试专项费用</x:v>
      </x:c>
      <x:c r="M4" s="12" t="str">
        <x:v>测试总预算</x:v>
      </x:c>
      <x:c r="N4" s="12" t="str">
        <x:v>测试实践与验收标准</x:v>
      </x:c>
    </x:row>
    <x:row r="5" ht="72" customHeight="1">
      <x:c r="A5" s="20" t="n">
        <x:v>1</x:v>
      </x:c>
      <x:c r="B5" s="20" t="str">
        <x:v>OCR（产品核心识别入口，支持扫码、拍照、文字识别三种录入方式）</x:v>
      </x:c>
      <x:c r="C5" s="20" t="str">
        <x:v>V0.2</x:v>
      </x:c>
      <x:c r="D5" s="20" t="n">
        <x:v>4</x:v>
      </x:c>
      <x:c r="E5" s="20" t="n">
        <x:v>3</x:v>
      </x:c>
      <x:c r="F5" s="20" t="n">
        <x:v>6</x:v>
      </x:c>
      <x:c r="G5" s="20" t="n">
        <x:v>3</x:v>
      </x:c>
      <x:c r="H5" s="20" t="n">
        <x:v>1</x:v>
      </x:c>
      <x:c r="I5" s="20" t="n">
        <x:v>2</x:v>
      </x:c>
      <x:c r="J5" s="20" t="n">
        <x:f>SUM(D5:I5)</x:f>
        <x:v>19</x:v>
      </x:c>
      <x:c r="K5" s="21" t="n">
        <x:f>J5*'预算口径'!$B$3</x:f>
        <x:v>19000</x:v>
      </x:c>
      <x:c r="L5" s="21" t="n">
        <x:v>6000</x:v>
      </x:c>
      <x:c r="M5" s="21" t="n">
        <x:f>K5+L5</x:f>
        <x:v>25000</x:v>
      </x:c>
      <x:c r="N5" s="20" t="str">
        <x:v>条码命中率、OCR 字段抽取准确率、候选召回率、人工确认成功率、一图多品样例通过率；覆盖反光、英文包装、小众品牌、模糊照片和离线降级。</x:v>
      </x:c>
    </x:row>
    <x:row r="6" ht="72" customHeight="1">
      <x:c r="A6" s="22" t="n">
        <x:v>2</x:v>
      </x:c>
      <x:c r="B6" s="22" t="str">
        <x:v>化妆品数据库构建</x:v>
      </x:c>
      <x:c r="C6" s="22" t="str">
        <x:v>V0.1</x:v>
      </x:c>
      <x:c r="D6" s="22" t="n">
        <x:v>4</x:v>
      </x:c>
      <x:c r="E6" s="22" t="n">
        <x:v>2</x:v>
      </x:c>
      <x:c r="F6" s="22" t="n">
        <x:v>4</x:v>
      </x:c>
      <x:c r="G6" s="22" t="n">
        <x:v>1</x:v>
      </x:c>
      <x:c r="H6" s="22" t="n">
        <x:v>1</x:v>
      </x:c>
      <x:c r="I6" s="22" t="n">
        <x:v>1</x:v>
      </x:c>
      <x:c r="J6" s="22" t="n">
        <x:f>SUM(D6:I6)</x:f>
        <x:v>13</x:v>
      </x:c>
      <x:c r="K6" s="23" t="n">
        <x:f>J6*'预算口径'!$B$3</x:f>
        <x:v>13000</x:v>
      </x:c>
      <x:c r="L6" s="23" t="n">
        <x:v>2000</x:v>
      </x:c>
      <x:c r="M6" s="23" t="n">
        <x:f>K6+L6</x:f>
        <x:v>15000</x:v>
      </x:c>
      <x:c r="N6" s="22" t="str">
        <x:v>核心 SKU 导入完整率、商品匹配召回率、字段缺失率、重复商品合并、成分/保质期关联、人工复核闭环。</x:v>
      </x:c>
    </x:row>
    <x:row r="7" ht="72" customHeight="1">
      <x:c r="A7" s="20" t="n">
        <x:v>3</x:v>
      </x:c>
      <x:c r="B7" s="20" t="str">
        <x:v>产品搜索</x:v>
      </x:c>
      <x:c r="C7" s="20" t="str">
        <x:v>V0.1</x:v>
      </x:c>
      <x:c r="D7" s="20" t="n">
        <x:v>2</x:v>
      </x:c>
      <x:c r="E7" s="20" t="n">
        <x:v>2</x:v>
      </x:c>
      <x:c r="F7" s="20" t="n">
        <x:v>1</x:v>
      </x:c>
      <x:c r="G7" s="20" t="n">
        <x:v>1</x:v>
      </x:c>
      <x:c r="H7" s="20" t="n">
        <x:v>0.5</x:v>
      </x:c>
      <x:c r="I7" s="20" t="n">
        <x:v>0.5</x:v>
      </x:c>
      <x:c r="J7" s="20" t="n">
        <x:f>SUM(D7:I7)</x:f>
        <x:v>7</x:v>
      </x:c>
      <x:c r="K7" s="21" t="n">
        <x:f>J7*'预算口径'!$B$3</x:f>
        <x:v>7000</x:v>
      </x:c>
      <x:c r="L7" s="21" t="n">
        <x:v>0</x:v>
      </x:c>
      <x:c r="M7" s="21" t="n">
        <x:f>K7+L7</x:f>
        <x:v>7000</x:v>
      </x:c>
      <x:c r="N7" s="20" t="str">
        <x:v>精确品牌/商品名/色号命中、模糊错字、英文/中文别名、空结果兜底、排序解释、搜索性能。</x:v>
      </x:c>
    </x:row>
    <x:row r="8" ht="72" customHeight="1">
      <x:c r="A8" s="22" t="n">
        <x:v>4</x:v>
      </x:c>
      <x:c r="B8" s="22" t="str">
        <x:v>开封后保质期</x:v>
      </x:c>
      <x:c r="C8" s="22" t="str">
        <x:v>V0.1</x:v>
      </x:c>
      <x:c r="D8" s="22" t="n">
        <x:v>2</x:v>
      </x:c>
      <x:c r="E8" s="22" t="n">
        <x:v>1</x:v>
      </x:c>
      <x:c r="F8" s="22" t="n">
        <x:v>0.5</x:v>
      </x:c>
      <x:c r="G8" s="22" t="n">
        <x:v>0.5</x:v>
      </x:c>
      <x:c r="H8" s="22" t="n">
        <x:v>1</x:v>
      </x:c>
      <x:c r="I8" s="22" t="n">
        <x:v>1</x:v>
      </x:c>
      <x:c r="J8" s="22" t="n">
        <x:f>SUM(D8:I8)</x:f>
        <x:v>6</x:v>
      </x:c>
      <x:c r="K8" s="23" t="n">
        <x:f>J8*'预算口径'!$B$3</x:f>
        <x:v>6000</x:v>
      </x:c>
      <x:c r="L8" s="23" t="n">
        <x:v>0</x:v>
      </x:c>
      <x:c r="M8" s="23" t="n">
        <x:f>K8+L8</x:f>
        <x:v>6000</x:v>
      </x:c>
      <x:c r="N8" s="22" t="str">
        <x:v>未开封/已开封/自定义日期/规则缺失/时区边界/临期提醒全部通过单元与 API 测试。</x:v>
      </x:c>
    </x:row>
    <x:row r="9" ht="72" customHeight="1">
      <x:c r="A9" s="20" t="n">
        <x:v>5</x:v>
      </x:c>
      <x:c r="B9" s="20" t="str">
        <x:v>AI跟妆图片捕捉</x:v>
      </x:c>
      <x:c r="C9" s="20" t="str">
        <x:v>V0.2</x:v>
      </x:c>
      <x:c r="D9" s="20" t="n">
        <x:v>3</x:v>
      </x:c>
      <x:c r="E9" s="20" t="n">
        <x:v>4</x:v>
      </x:c>
      <x:c r="F9" s="20" t="n">
        <x:v>7</x:v>
      </x:c>
      <x:c r="G9" s="20" t="n">
        <x:v>3</x:v>
      </x:c>
      <x:c r="H9" s="20" t="n">
        <x:v>1</x:v>
      </x:c>
      <x:c r="I9" s="20" t="n">
        <x:v>3</x:v>
      </x:c>
      <x:c r="J9" s="20" t="n">
        <x:f>SUM(D9:I9)</x:f>
        <x:v>21</x:v>
      </x:c>
      <x:c r="K9" s="21" t="n">
        <x:f>J9*'预算口径'!$B$3</x:f>
        <x:v>21000</x:v>
      </x:c>
      <x:c r="L9" s="21" t="n">
        <x:v>6000</x:v>
      </x:c>
      <x:c r="M9" s="21" t="n">
        <x:f>K9+L9</x:f>
        <x:v>27000</x:v>
      </x:c>
      <x:c r="N9" s="20" t="str">
        <x:v>产品在画面检测、余量区间稳定性、用户修正回写、弱光/反光/遮挡样例、性能和发热、隐私不保存原始视频。</x:v>
      </x:c>
    </x:row>
    <x:row r="10" ht="72" customHeight="1">
      <x:c r="A10" s="22" t="n">
        <x:v>6</x:v>
      </x:c>
      <x:c r="B10" s="22" t="str">
        <x:v>自动计算消耗量</x:v>
      </x:c>
      <x:c r="C10" s="22" t="str">
        <x:v>V0.1</x:v>
      </x:c>
      <x:c r="D10" s="22" t="n">
        <x:v>3</x:v>
      </x:c>
      <x:c r="E10" s="22" t="n">
        <x:v>2</x:v>
      </x:c>
      <x:c r="F10" s="22" t="n">
        <x:v>1</x:v>
      </x:c>
      <x:c r="G10" s="22" t="n">
        <x:v>1</x:v>
      </x:c>
      <x:c r="H10" s="22" t="n">
        <x:v>1</x:v>
      </x:c>
      <x:c r="I10" s="22" t="n">
        <x:v>1</x:v>
      </x:c>
      <x:c r="J10" s="22" t="n">
        <x:f>SUM(D10:I10)</x:f>
        <x:v>9</x:v>
      </x:c>
      <x:c r="K10" s="23" t="n">
        <x:f>J10*'预算口径'!$B$3</x:f>
        <x:v>9000</x:v>
      </x:c>
      <x:c r="L10" s="23" t="n">
        <x:v>0</x:v>
      </x:c>
      <x:c r="M10" s="23" t="n">
        <x:f>K10+L10</x:f>
        <x:v>9000</x:v>
      </x:c>
      <x:c r="N10" s="22" t="str">
        <x:v>不同品类扣减、低余量提醒、手动校准、历史记录、重复执行防重扣、回滚和边界值测试。</x:v>
      </x:c>
    </x:row>
    <x:row r="11" ht="72" customHeight="1">
      <x:c r="A11" s="20" t="n">
        <x:v>7</x:v>
      </x:c>
      <x:c r="B11" s="20" t="str">
        <x:v>个性化成分分析</x:v>
      </x:c>
      <x:c r="C11" s="20" t="str">
        <x:v>V0.2</x:v>
      </x:c>
      <x:c r="D11" s="20" t="n">
        <x:v>4</x:v>
      </x:c>
      <x:c r="E11" s="20" t="n">
        <x:v>2</x:v>
      </x:c>
      <x:c r="F11" s="20" t="n">
        <x:v>4</x:v>
      </x:c>
      <x:c r="G11" s="20" t="n">
        <x:v>1</x:v>
      </x:c>
      <x:c r="H11" s="20" t="n">
        <x:v>2</x:v>
      </x:c>
      <x:c r="I11" s="20" t="n">
        <x:v>2</x:v>
      </x:c>
      <x:c r="J11" s="20" t="n">
        <x:f>SUM(D11:I11)</x:f>
        <x:v>15</x:v>
      </x:c>
      <x:c r="K11" s="21" t="n">
        <x:f>J11*'预算口径'!$B$3</x:f>
        <x:v>15000</x:v>
      </x:c>
      <x:c r="L11" s="21" t="n">
        <x:v>4000</x:v>
      </x:c>
      <x:c r="M11" s="21" t="n">
        <x:f>K11+L11</x:f>
        <x:v>19000</x:v>
      </x:c>
      <x:c r="N11" s="20" t="str">
        <x:v>成分解析、风险标签、肤质差异化提示、产品对比、误导性医疗措辞拦截、规则回归样例。</x:v>
      </x:c>
    </x:row>
    <x:row r="12" ht="72" customHeight="1">
      <x:c r="A12" s="22" t="n">
        <x:v>8</x:v>
      </x:c>
      <x:c r="B12" s="22" t="str">
        <x:v>化妆台展示</x:v>
      </x:c>
      <x:c r="C12" s="22" t="str">
        <x:v>V0.2</x:v>
      </x:c>
      <x:c r="D12" s="22" t="n">
        <x:v>2</x:v>
      </x:c>
      <x:c r="E12" s="22" t="n">
        <x:v>5</x:v>
      </x:c>
      <x:c r="F12" s="22" t="n">
        <x:v>1</x:v>
      </x:c>
      <x:c r="G12" s="22" t="n">
        <x:v>3</x:v>
      </x:c>
      <x:c r="H12" s="22" t="n">
        <x:v>1</x:v>
      </x:c>
      <x:c r="I12" s="22" t="n">
        <x:v>2</x:v>
      </x:c>
      <x:c r="J12" s="22" t="n">
        <x:f>SUM(D12:I12)</x:f>
        <x:v>14</x:v>
      </x:c>
      <x:c r="K12" s="23" t="n">
        <x:f>J12*'预算口径'!$B$3</x:f>
        <x:v>14000</x:v>
      </x:c>
      <x:c r="L12" s="23" t="n">
        <x:v>2000</x:v>
      </x:c>
      <x:c r="M12" s="23" t="n">
        <x:f>K12+L12</x:f>
        <x:v>16000</x:v>
      </x:c>
      <x:c r="N12" s="22" t="str">
        <x:v>拖拽布局保存恢复、分类过滤、不同屏幕尺寸、主题切换、性能、低端机兼容、未加载图片兜底。</x:v>
      </x:c>
    </x:row>
    <x:row r="13" ht="72" customHeight="1">
      <x:c r="A13" s="20" t="n">
        <x:v>9</x:v>
      </x:c>
      <x:c r="B13" s="20" t="str">
        <x:v>用户基本信息</x:v>
      </x:c>
      <x:c r="C13" s="20" t="str">
        <x:v>V0.2</x:v>
      </x:c>
      <x:c r="D13" s="20" t="n">
        <x:v>3</x:v>
      </x:c>
      <x:c r="E13" s="20" t="n">
        <x:v>3</x:v>
      </x:c>
      <x:c r="F13" s="20" t="n">
        <x:v>5</x:v>
      </x:c>
      <x:c r="G13" s="20" t="n">
        <x:v>2</x:v>
      </x:c>
      <x:c r="H13" s="20" t="n">
        <x:v>2</x:v>
      </x:c>
      <x:c r="I13" s="20" t="n">
        <x:v>2</x:v>
      </x:c>
      <x:c r="J13" s="20" t="n">
        <x:f>SUM(D13:I13)</x:f>
        <x:v>17</x:v>
      </x:c>
      <x:c r="K13" s="21" t="n">
        <x:f>J13*'预算口径'!$B$3</x:f>
        <x:v>17000</x:v>
      </x:c>
      <x:c r="L13" s="21" t="n">
        <x:v>6000</x:v>
      </x:c>
      <x:c r="M13" s="21" t="n">
        <x:f>K13+L13</x:f>
        <x:v>23000</x:v>
      </x:c>
      <x:c r="N13" s="20" t="str">
        <x:v>光线/遮挡校验、结构化 JSON、置信度、用户修改、隐私提示、不同肤色与滤镜样例、禁止医疗诊断。</x:v>
      </x:c>
    </x:row>
    <x:row r="14" ht="72" customHeight="1">
      <x:c r="A14" s="22" t="n">
        <x:v>10</x:v>
      </x:c>
      <x:c r="B14" s="22" t="str">
        <x:v>自定义模板库</x:v>
      </x:c>
      <x:c r="C14" s="22" t="str">
        <x:v>V0.2</x:v>
      </x:c>
      <x:c r="D14" s="22" t="n">
        <x:v>4</x:v>
      </x:c>
      <x:c r="E14" s="22" t="n">
        <x:v>3</x:v>
      </x:c>
      <x:c r="F14" s="22" t="n">
        <x:v>2</x:v>
      </x:c>
      <x:c r="G14" s="22" t="n">
        <x:v>1</x:v>
      </x:c>
      <x:c r="H14" s="22" t="n">
        <x:v>1</x:v>
      </x:c>
      <x:c r="I14" s="22" t="n">
        <x:v>2</x:v>
      </x:c>
      <x:c r="J14" s="22" t="n">
        <x:f>SUM(D14:I14)</x:f>
        <x:v>13</x:v>
      </x:c>
      <x:c r="K14" s="23" t="n">
        <x:f>J14*'预算口径'!$B$3</x:f>
        <x:v>13000</x:v>
      </x:c>
      <x:c r="L14" s="23" t="n">
        <x:v>2000</x:v>
      </x:c>
      <x:c r="M14" s="23" t="n">
        <x:f>K14+L14</x:f>
        <x:v>15000</x:v>
      </x:c>
      <x:c r="N14" s="22" t="str">
        <x:v>CRUD、排序分组置顶、云同步、社区收藏复制、图片上传失败、AI 拆步骤可编辑确认、权限隔离。</x:v>
      </x:c>
    </x:row>
    <x:row r="15" ht="72" customHeight="1">
      <x:c r="A15" s="20" t="n">
        <x:v>11</x:v>
      </x:c>
      <x:c r="B15" s="20" t="str">
        <x:v>芭比娃娃模式</x:v>
      </x:c>
      <x:c r="C15" s="20" t="str">
        <x:v>V0.3</x:v>
      </x:c>
      <x:c r="D15" s="20" t="n">
        <x:v>4</x:v>
      </x:c>
      <x:c r="E15" s="20" t="n">
        <x:v>6</x:v>
      </x:c>
      <x:c r="F15" s="20" t="n">
        <x:v>5</x:v>
      </x:c>
      <x:c r="G15" s="20" t="n">
        <x:v>4</x:v>
      </x:c>
      <x:c r="H15" s="20" t="n">
        <x:v>2</x:v>
      </x:c>
      <x:c r="I15" s="20" t="n">
        <x:v>4</x:v>
      </x:c>
      <x:c r="J15" s="20" t="n">
        <x:f>SUM(D15:I15)</x:f>
        <x:v>25</x:v>
      </x:c>
      <x:c r="K15" s="21" t="n">
        <x:f>J15*'预算口径'!$B$3</x:f>
        <x:v>25000</x:v>
      </x:c>
      <x:c r="L15" s="21" t="n">
        <x:v>8000</x:v>
      </x:c>
      <x:c r="M15" s="21" t="n">
        <x:f>K15+L15</x:f>
        <x:v>33000</x:v>
      </x:c>
      <x:c r="N15" s="20" t="str">
        <x:v>脸型/肤色/发型/瞳色参数、妆效图层、保存为模板、社区分享、积分解锁、素材版权检查、移动端性能。</x:v>
      </x:c>
    </x:row>
    <x:row r="16" ht="72" customHeight="1">
      <x:c r="A16" s="22" t="n">
        <x:v>12</x:v>
      </x:c>
      <x:c r="B16" s="22" t="str">
        <x:v>AI个性化妆容生成</x:v>
      </x:c>
      <x:c r="C16" s="22" t="str">
        <x:v>V0.3</x:v>
      </x:c>
      <x:c r="D16" s="22" t="n">
        <x:v>4</x:v>
      </x:c>
      <x:c r="E16" s="22" t="n">
        <x:v>3</x:v>
      </x:c>
      <x:c r="F16" s="22" t="n">
        <x:v>6</x:v>
      </x:c>
      <x:c r="G16" s="22" t="n">
        <x:v>2</x:v>
      </x:c>
      <x:c r="H16" s="22" t="n">
        <x:v>2</x:v>
      </x:c>
      <x:c r="I16" s="22" t="n">
        <x:v>3</x:v>
      </x:c>
      <x:c r="J16" s="22" t="n">
        <x:f>SUM(D16:I16)</x:f>
        <x:v>20</x:v>
      </x:c>
      <x:c r="K16" s="23" t="n">
        <x:f>J16*'预算口径'!$B$3</x:f>
        <x:v>20000</x:v>
      </x:c>
      <x:c r="L16" s="23" t="n">
        <x:v>6000</x:v>
      </x:c>
      <x:c r="M16" s="23" t="n">
        <x:f>K16+L16</x:f>
        <x:v>26000</x:v>
      </x:c>
      <x:c r="N16" s="22" t="str">
        <x:v>自然语言场景解析、模板匹配、已有产品优先、缺失产品和平替推荐、过敏/禁忌规则、结构化输出稳定性。</x:v>
      </x:c>
    </x:row>
    <x:row r="17" ht="72" customHeight="1">
      <x:c r="A17" s="20" t="n">
        <x:v>13</x:v>
      </x:c>
      <x:c r="B17" s="20" t="str">
        <x:v>3D预览</x:v>
      </x:c>
      <x:c r="C17" s="20" t="str">
        <x:v>V0.3</x:v>
      </x:c>
      <x:c r="D17" s="20" t="n">
        <x:v>5</x:v>
      </x:c>
      <x:c r="E17" s="20" t="n">
        <x:v>7</x:v>
      </x:c>
      <x:c r="F17" s="20" t="n">
        <x:v>8</x:v>
      </x:c>
      <x:c r="G17" s="20" t="n">
        <x:v>5</x:v>
      </x:c>
      <x:c r="H17" s="20" t="n">
        <x:v>2</x:v>
      </x:c>
      <x:c r="I17" s="20" t="n">
        <x:v>3</x:v>
      </x:c>
      <x:c r="J17" s="20" t="n">
        <x:f>SUM(D17:I17)</x:f>
        <x:v>30</x:v>
      </x:c>
      <x:c r="K17" s="21" t="n">
        <x:f>J17*'预算口径'!$B$3</x:f>
        <x:v>30000</x:v>
      </x:c>
      <x:c r="L17" s="21" t="n">
        <x:v>10000</x:v>
      </x:c>
      <x:c r="M17" s="21" t="n">
        <x:f>K17+L17</x:f>
        <x:v>40000</x:v>
      </x:c>
      <x:c r="N17" s="20" t="str">
        <x:v>妆前妆后对比、局部强度、关键点贴合、不同光线模拟、失败兜底、图片隐私、真实设备性能。</x:v>
      </x:c>
    </x:row>
    <x:row r="18" ht="72" customHeight="1">
      <x:c r="A18" s="22" t="n">
        <x:v>14</x:v>
      </x:c>
      <x:c r="B18" s="22" t="str">
        <x:v>AI化妆师实时跟妆update</x:v>
      </x:c>
      <x:c r="C18" s="22" t="str">
        <x:v>V0.1</x:v>
      </x:c>
      <x:c r="D18" s="22" t="n">
        <x:v>5</x:v>
      </x:c>
      <x:c r="E18" s="22" t="n">
        <x:v>4</x:v>
      </x:c>
      <x:c r="F18" s="22" t="n">
        <x:v>6</x:v>
      </x:c>
      <x:c r="G18" s="22" t="n">
        <x:v>3</x:v>
      </x:c>
      <x:c r="H18" s="22" t="n">
        <x:v>2</x:v>
      </x:c>
      <x:c r="I18" s="22" t="n">
        <x:v>3</x:v>
      </x:c>
      <x:c r="J18" s="22" t="n">
        <x:f>SUM(D18:I18)</x:f>
        <x:v>23</x:v>
      </x:c>
      <x:c r="K18" s="23" t="n">
        <x:f>J18*'预算口径'!$B$3</x:f>
        <x:v>23000</x:v>
      </x:c>
      <x:c r="L18" s="23" t="n">
        <x:v>6000</x:v>
      </x:c>
      <x:c r="M18" s="23" t="n">
        <x:f>K18+L18</x:f>
        <x:v>29000</x:v>
      </x:c>
      <x:c r="N18" s="22" t="str">
        <x:v>语音转写、换色/加重/减淡/替换产品意图、JSON Patch 校验、会话状态、弱网、反馈提交、隐私与降级。</x:v>
      </x:c>
    </x:row>
    <x:row r="19" ht="72" customHeight="1">
      <x:c r="A19" s="20" t="n">
        <x:v>15</x:v>
      </x:c>
      <x:c r="B19" s="20" t="str">
        <x:v>妆容社区互动update</x:v>
      </x:c>
      <x:c r="C19" s="20" t="str">
        <x:v>V0.1</x:v>
      </x:c>
      <x:c r="D19" s="20" t="n">
        <x:v>2</x:v>
      </x:c>
      <x:c r="E19" s="20" t="n">
        <x:v>3</x:v>
      </x:c>
      <x:c r="F19" s="20" t="n">
        <x:v>0.5</x:v>
      </x:c>
      <x:c r="G19" s="20" t="n">
        <x:v>1</x:v>
      </x:c>
      <x:c r="H19" s="20" t="n">
        <x:v>1</x:v>
      </x:c>
      <x:c r="I19" s="20" t="n">
        <x:v>1.5</x:v>
      </x:c>
      <x:c r="J19" s="20" t="n">
        <x:f>SUM(D19:I19)</x:f>
        <x:v>9</x:v>
      </x:c>
      <x:c r="K19" s="21" t="n">
        <x:f>J19*'预算口径'!$B$3</x:f>
        <x:v>9000</x:v>
      </x:c>
      <x:c r="L19" s="21" t="n">
        <x:v>1000</x:v>
      </x:c>
      <x:c r="M19" s="21" t="n">
        <x:f>K19+L19</x:f>
        <x:v>10000</x:v>
      </x:c>
      <x:c r="N19" s="20" t="str">
        <x:v>圈子筛选、热度排序、置顶、点赞收藏评论、达人标识、内容下架、芭比娃娃帖兼容。</x:v>
      </x:c>
    </x:row>
    <x:row r="20" ht="72" customHeight="1">
      <x:c r="A20" s="22" t="n">
        <x:v>16</x:v>
      </x:c>
      <x:c r="B20" s="22" t="str">
        <x:v>产品使用分享</x:v>
      </x:c>
      <x:c r="C20" s="22" t="str">
        <x:v>V0.1</x:v>
      </x:c>
      <x:c r="D20" s="22" t="n">
        <x:v>2</x:v>
      </x:c>
      <x:c r="E20" s="22" t="n">
        <x:v>2</x:v>
      </x:c>
      <x:c r="F20" s="22" t="n">
        <x:v>0.5</x:v>
      </x:c>
      <x:c r="G20" s="22" t="n">
        <x:v>1</x:v>
      </x:c>
      <x:c r="H20" s="22" t="n">
        <x:v>1</x:v>
      </x:c>
      <x:c r="I20" s="22" t="n">
        <x:v>1.5</x:v>
      </x:c>
      <x:c r="J20" s="22" t="n">
        <x:f>SUM(D20:I20)</x:f>
        <x:v>8</x:v>
      </x:c>
      <x:c r="K20" s="23" t="n">
        <x:f>J20*'预算口径'!$B$3</x:f>
        <x:v>8000</x:v>
      </x:c>
      <x:c r="L20" s="23" t="n">
        <x:v>1000</x:v>
      </x:c>
      <x:c r="M20" s="23" t="n">
        <x:f>K20+L20</x:f>
        <x:v>9000</x:v>
      </x:c>
      <x:c r="N20" s="22" t="str">
        <x:v>产品绑定、评分/标签/价格筛选、搜索、发帖校验、普通帖兼容、评论互动、空状态。</x:v>
      </x:c>
    </x:row>
    <x:row r="21" ht="72" customHeight="1">
      <x:c r="A21" s="20" t="n">
        <x:v>17</x:v>
      </x:c>
      <x:c r="B21" s="20" t="str">
        <x:v>商城搭建</x:v>
      </x:c>
      <x:c r="C21" s="20" t="str">
        <x:v>V0.1</x:v>
      </x:c>
      <x:c r="D21" s="20" t="n">
        <x:v>3</x:v>
      </x:c>
      <x:c r="E21" s="20" t="n">
        <x:v>3</x:v>
      </x:c>
      <x:c r="F21" s="20" t="n">
        <x:v>1</x:v>
      </x:c>
      <x:c r="G21" s="20" t="n">
        <x:v>2</x:v>
      </x:c>
      <x:c r="H21" s="20" t="n">
        <x:v>1</x:v>
      </x:c>
      <x:c r="I21" s="20" t="n">
        <x:v>2</x:v>
      </x:c>
      <x:c r="J21" s="20" t="n">
        <x:f>SUM(D21:I21)</x:f>
        <x:v>12</x:v>
      </x:c>
      <x:c r="K21" s="21" t="n">
        <x:f>J21*'预算口径'!$B$3</x:f>
        <x:v>12000</x:v>
      </x:c>
      <x:c r="L21" s="21" t="n">
        <x:v>2000</x:v>
      </x:c>
      <x:c r="M21" s="21" t="n">
        <x:f>K21+L21</x:f>
        <x:v>14000</x:v>
      </x:c>
      <x:c r="N21" s="20" t="str">
        <x:v>低余量/临期/缺品触发、商品链接展示、外部跳转、点击统计、失效链接兜底、合规提示。</x:v>
      </x:c>
    </x:row>
    <x:row r="22" ht="72" customHeight="1">
      <x:c r="A22" s="22" t="n">
        <x:v>18</x:v>
      </x:c>
      <x:c r="B22" s="22" t="str">
        <x:v>用户使用数据收集</x:v>
      </x:c>
      <x:c r="C22" s="22" t="str">
        <x:v>跨版本基础设施</x:v>
      </x:c>
      <x:c r="D22" s="22" t="n">
        <x:v>4</x:v>
      </x:c>
      <x:c r="E22" s="22" t="n">
        <x:v>2</x:v>
      </x:c>
      <x:c r="F22" s="22" t="n">
        <x:v>2</x:v>
      </x:c>
      <x:c r="G22" s="22" t="n">
        <x:v>2</x:v>
      </x:c>
      <x:c r="H22" s="22" t="n">
        <x:v>2</x:v>
      </x:c>
      <x:c r="I22" s="22" t="n">
        <x:v>2</x:v>
      </x:c>
      <x:c r="J22" s="22" t="n">
        <x:f>SUM(D22:I22)</x:f>
        <x:v>14</x:v>
      </x:c>
      <x:c r="K22" s="23" t="n">
        <x:f>J22*'预算口径'!$B$3</x:f>
        <x:v>14000</x:v>
      </x:c>
      <x:c r="L22" s="23" t="n">
        <x:v>2000</x:v>
      </x:c>
      <x:c r="M22" s="23" t="n">
        <x:f>K22+L22</x:f>
        <x:v>16000</x:v>
      </x:c>
      <x:c r="N22" s="22" t="str">
        <x:v>事件命名、sessionId、匿名 user hash、漏斗报表、CSV 导出、隐私字段拦截、重复上报和离线补发。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43e6717d04954f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90000152587891" hidden="0" customWidth="1"/>
    <x:col min="2" max="2" width="7.940000057220459" hidden="0" customWidth="1"/>
    <x:col min="3" max="3" width="11.710000038146973" hidden="0" customWidth="1"/>
    <x:col min="4" max="4" width="19.520000457763672" hidden="0" customWidth="1"/>
    <x:col min="5" max="5" width="15.210000038146973" hidden="0" customWidth="1"/>
    <x:col min="6" max="6" width="27.59000015258789" hidden="0" customWidth="1"/>
    <x:col min="7" max="7" width="47.779998779296875" hidden="0" customWidth="1"/>
    <x:col min="8" max="8" width="23.549999237060547" hidden="0" customWidth="1"/>
    <x:col min="9" max="9" width="42.400001525878906" hidden="0" customWidth="1"/>
    <x:col min="10" max="10" width="9.289999961853027" hidden="0" customWidth="1"/>
    <x:col min="11" max="11" width="9.289999961853027" hidden="0" customWidth="1"/>
    <x:col min="12" max="12" width="13.319999694824219" hidden="0" customWidth="1"/>
    <x:col min="13" max="13" width="14.130000114440918" hidden="0" customWidth="1"/>
    <x:col min="14" max="14" width="69.30999755859375" hidden="0" customWidth="1"/>
  </x:cols>
  <x:sheetData>
    <x:row r="1">
      <x:c r="A1" s="12" t="str">
        <x:v>序号</x:v>
      </x:c>
      <x:c r="B1" s="12" t="str">
        <x:v>来源行</x:v>
      </x:c>
      <x:c r="C1" s="12" t="str">
        <x:v>标黄列</x:v>
      </x:c>
      <x:c r="D1" s="12" t="str">
        <x:v>大目录</x:v>
      </x:c>
      <x:c r="E1" s="12" t="str">
        <x:v>项目</x:v>
      </x:c>
      <x:c r="F1" s="12" t="str">
        <x:v>功能</x:v>
      </x:c>
      <x:c r="G1" s="12" t="str">
        <x:v>说明</x:v>
      </x:c>
      <x:c r="H1" s="12" t="str">
        <x:v>用户端操作</x:v>
      </x:c>
      <x:c r="I1" s="12" t="str">
        <x:v>原表技术路线</x:v>
      </x:c>
      <x:c r="J1" s="12" t="str">
        <x:v>执行人</x:v>
      </x:c>
      <x:c r="K1" s="12" t="str">
        <x:v>负责人</x:v>
      </x:c>
      <x:c r="L1" s="12" t="str">
        <x:v>阶段</x:v>
      </x:c>
      <x:c r="M1" s="12" t="str">
        <x:v>MVP预计完成日期</x:v>
      </x:c>
      <x:c r="N1" s="12" t="str">
        <x:v>技术路线</x:v>
      </x:c>
    </x:row>
    <x:row r="2">
      <x:c r="A2" s="2" t="n">
        <x:v>1</x:v>
      </x:c>
      <x:c r="B2" s="2" t="n">
        <x:v>4</x:v>
      </x:c>
      <x:c r="C2" s="2" t="str">
        <x:v>说明</x:v>
      </x:c>
      <x:c r="D2" s="2" t="str">
        <x:v>一、美妆资产数字化</x:v>
      </x:c>
      <x:c r="E2" s="2" t="str">
        <x:v>产品录入</x:v>
      </x:c>
      <x:c r="F2" s="2" t="str">
        <x:v>OCR（产品核心识别入口，支持扫码、拍照、文字识别三种录入方式）</x:v>
      </x:c>
      <x:c r="G2" s="2" t="str">
        <x:v>1.提高反光瓶身、花体字、磨损标签的识别准确率
2.支持识别外文包装、小众品牌
3.一件拍摄/上传化妆台全部产品</x:v>
      </x:c>
      <x:c r="H2" s="2" t="str">
        <x:v>拍摄，图片上传</x:v>
      </x:c>
      <x:c r="I2" s="2" t="str">
        <x:v>采取一图识别多个产品的技术路线，前期先接识物api，后期可接入模型</x:v>
      </x:c>
      <x:c r="J2" s="2"/>
      <x:c r="K2" s="2"/>
      <x:c r="L2" s="2" t="str">
        <x:v>V0.2</x:v>
      </x:c>
      <x:c r="M2" s="2"/>
      <x:c r="N2" s="2" t="str">
        <x:v>可行路线：沿用现有 backend/product-intake 的 ProductScan、OCR provider、条码 provider 和候选匹配服务，前端用 Expo Camera / VisionCamera 做扫码、拍照和相册上传。后端先走“条码优先、OCR/VLM补充、规则抽字段、候选产品召回、人工确认”的流水线；多商品照片先做图像预处理和候选区域切分，再为每个区域生成一个可编辑 draft。准确性保障：保存 OCR blocks、recognizedFields、fieldConfidence 和人工修正结果，建立回归样例集。难点：反光瓶身、花体字、磨损标签和一图多品识别会显著降低准确率。平替：3人团队先做“单品引导拍摄 + 条码优先 + 手动确认”，一图多品作为 V0.2+ 的增强能力。</x:v>
      </x:c>
    </x:row>
    <x:row r="3">
      <x:c r="A3" s="2" t="n">
        <x:v>2</x:v>
      </x:c>
      <x:c r="B3" s="2" t="n">
        <x:v>5</x:v>
      </x:c>
      <x:c r="C3" s="2" t="str">
        <x:v>功能、说明</x:v>
      </x:c>
      <x:c r="D3" s="2" t="str">
        <x:v>一、美妆资产数字化</x:v>
      </x:c>
      <x:c r="E3" s="2" t="str">
        <x:v>产品录入</x:v>
      </x:c>
      <x:c r="F3" s="2" t="str">
        <x:v>化妆品数据库构建</x:v>
      </x:c>
      <x:c r="G3" s="2" t="str">
        <x:v>用户拍照识别到的产品进入数据库查找，提供完整的保质期，成分，适配妆容</x:v>
      </x:c>
      <x:c r="H3" s="2" t="str">
        <x:v>拍照后确认
若无相应产品手动录入作为兜底</x:v>
      </x:c>
      <x:c r="I3" s="2" t="str">
        <x:v>化妆品数据库构建：搭建标准商品库、用户个人化妆台、成分/保质期规则库三层数据结构，完成商品匹配、别名归一、字段补全与持续扩库。</x:v>
      </x:c>
      <x:c r="J3" s="2"/>
      <x:c r="K3" s="2"/>
      <x:c r="L3" s="2" t="str">
        <x:v>V0.1</x:v>
      </x:c>
      <x:c r="M3" s="2"/>
      <x:c r="N3" s="2" t="str">
        <x:v>可行路线：把 Product、ProductCatalogAsset、ProductCatalogMatchRule、ProductCatalogSource、ProductIngredient、ShelfLifeRule 作为商品主数据底座，建立导入脚本和后台审核流。数据来源采用“自建种子库 + 用户确认数据 + Open Beauty Facts/Product Opener 可用字段 + CosIng 成分名 + 品牌官网/人工校验”的组合；所有外部字段都带 source、confidence、verifiedAt。匹配时按条码、品牌别名、商品名、色号、包装关键词分层召回。难点：不存在覆盖全球美妆且字段完整的免费官方商品库。平替：先整理路演常用 200-500 个核心 SKU，其他产品进入用户自建草稿和人工复核队列。</x:v>
      </x:c>
    </x:row>
    <x:row r="4">
      <x:c r="A4" s="2" t="n">
        <x:v>3</x:v>
      </x:c>
      <x:c r="B4" s="2" t="n">
        <x:v>6</x:v>
      </x:c>
      <x:c r="C4" s="2" t="str">
        <x:v>功能、说明</x:v>
      </x:c>
      <x:c r="D4" s="2" t="str">
        <x:v>一、美妆资产数字化</x:v>
      </x:c>
      <x:c r="E4" s="2" t="str">
        <x:v>产品录入</x:v>
      </x:c>
      <x:c r="F4" s="2" t="str">
        <x:v>产品搜索</x:v>
      </x:c>
      <x:c r="G4" s="2" t="str">
        <x:v>根据用户搜索匹配相应数据库内产品</x:v>
      </x:c>
      <x:c r="H4" s="2" t="str">
        <x:v>手动输入产品名</x:v>
      </x:c>
      <x:c r="I4" s="2" t="str">
        <x:v>基于商品主数据做关键词检索、
模糊匹配和中英混搜，按精确命中、
相似度和热度排序返回候选产品。</x:v>
      </x:c>
      <x:c r="J4" s="2"/>
      <x:c r="K4" s="2"/>
      <x:c r="L4" s="2" t="str">
        <x:v>V0.1</x:v>
      </x:c>
      <x:c r="M4" s="2"/>
      <x:c r="N4" s="2" t="str">
        <x:v>可行路线：在 PostgreSQL 上用标准化检索字段做商品搜索：brand/name/shade/aliases/tags 归一化、小写、去空格，中文/英文别名分开存；用 pg_trgm 做模糊相似度，配合全文检索和精确条码命中，排序公式为 exact &gt; barcode &gt; brand/name similarity &gt; shade &gt; heat。Prisma 层对复杂排序用 $queryRaw，API 保持 /products/search。可选增强：用 pgvector 做语义召回，适合“豆沙色口红”“敏感肌粉底”这类意图搜索。难点：中文分词、拼音和跨语言别名。平替：先做 ILIKE + pg_trgm + 手工 synonyms，足够支撑内测。</x:v>
      </x:c>
    </x:row>
    <x:row r="5">
      <x:c r="A5" s="2" t="n">
        <x:v>4</x:v>
      </x:c>
      <x:c r="B5" s="2" t="n">
        <x:v>8</x:v>
      </x:c>
      <x:c r="C5" s="2" t="str">
        <x:v>功能</x:v>
      </x:c>
      <x:c r="D5" s="2" t="str">
        <x:v>一、美妆资产数字化</x:v>
      </x:c>
      <x:c r="E5" s="2" t="str">
        <x:v>保质期（支持自定义）</x:v>
      </x:c>
      <x:c r="F5" s="2" t="str">
        <x:v>开封后保质期</x:v>
      </x:c>
      <x:c r="G5" s="2" t="str">
        <x:v>根据用户是否开封确定过期时间，使用后标记已开封（选择开封后，用户提供首次开封时间）</x:v>
      </x:c>
      <x:c r="H5" s="2" t="str">
        <x:v>手动选择是否开封，使用记录</x:v>
      </x:c>
      <x:c r="I5" s="2" t="str">
        <x:v>记录开封时间，结合 PAO 标识和
品类规则动态计算开封后有效期，
支持用户自定义修改</x:v>
      </x:c>
      <x:c r="J5" s="2"/>
      <x:c r="K5" s="2"/>
      <x:c r="L5" s="2" t="str">
        <x:v>V0.1</x:v>
      </x:c>
      <x:c r="M5" s="2"/>
      <x:c r="N5" s="2" t="str">
        <x:v>可行路线：复用 UserProduct 的 isOpened、openedAt、customExpiresAt、expiresAt 字段和 ShelfLifeRule。用户点“已开封”时写入 openedAt，后端按 product.periodAfterOpeningMonths &gt; ShelfLifeRule &gt; subCategory 默认值计算开封后过期日；customExpiresAt 永远优先。前端提供日期选择、PAO 月数编辑、撤销开封和提醒开关；Dashboard/Notifications 读取 expiresAt 推送临期提醒。准确性保障：所有计算集中在 UserProductsService，写单元测试覆盖未开封、已开封、手动改期、规则缺失。难点低。平替：规则缺失时使用品类默认 PAO，并明确显示“估算”。</x:v>
      </x:c>
    </x:row>
    <x:row r="6">
      <x:c r="A6" s="2" t="n">
        <x:v>5</x:v>
      </x:c>
      <x:c r="B6" s="2" t="n">
        <x:v>10</x:v>
      </x:c>
      <x:c r="C6" s="2" t="str">
        <x:v>功能</x:v>
      </x:c>
      <x:c r="D6" s="2" t="str">
        <x:v>一、美妆资产数字化</x:v>
      </x:c>
      <x:c r="E6" s="2" t="str">
        <x:v>余量分析</x:v>
      </x:c>
      <x:c r="F6" s="2" t="str">
        <x:v>AI跟妆图片捕捉</x:v>
      </x:c>
      <x:c r="G6" s="2" t="str">
        <x:v>通过化妆时画面捕捉余量（可手动修改）</x:v>
      </x:c>
      <x:c r="H6" s="2" t="str">
        <x:v>开启实时跟妆模式</x:v>
      </x:c>
      <x:c r="I6" s="2" t="str">
        <x:v>基于端侧相机、ROI 裁剪、局部检测和前后帧变化分析捕捉产品使用状态，支持人工修正。</x:v>
      </x:c>
      <x:c r="J6" s="2"/>
      <x:c r="K6" s="2"/>
      <x:c r="L6" s="2" t="str">
        <x:v>V0.2</x:v>
      </x:c>
      <x:c r="M6" s="2"/>
      <x:c r="N6" s="2" t="str">
        <x:v>可行路线：高难。前端在实时跟妆模式中用 VisionCamera frame output 每隔数秒取低分辨率帧，要求用户先选择当前使用的产品；后端/本地模型只判断“产品是否在画面、是否被使用、余量区间”，不要承诺精确克数。可先用包装 ROI、前后帧变化、瓶身液面/膏体面积估计 remaining bucket，并写入 UserProductUsageRecord(source=vision)。准确性保障：所有视觉结果都必须让用户确认或滑杆修正。难点：化妆品容器材质复杂、反光、遮挡、不可见内芯，视觉余量估计天然不稳定。平替：先做“使用后弹出余量滑杆 + 相机只辅助识别产品”作为可落地版本。</x:v>
      </x:c>
    </x:row>
    <x:row r="7">
      <x:c r="A7" s="2" t="n">
        <x:v>6</x:v>
      </x:c>
      <x:c r="B7" s="2" t="n">
        <x:v>11</x:v>
      </x:c>
      <x:c r="C7" s="2" t="str">
        <x:v>功能</x:v>
      </x:c>
      <x:c r="D7" s="2" t="str">
        <x:v>一、美妆资产数字化</x:v>
      </x:c>
      <x:c r="E7" s="2" t="str">
        <x:v>余量分析</x:v>
      </x:c>
      <x:c r="F7" s="2" t="str">
        <x:v>自动计算消耗量</x:v>
      </x:c>
      <x:c r="G7" s="2" t="str">
        <x:v>根据产品种类预设周消耗量，根据用户使用频率微调</x:v>
      </x:c>
      <x:c r="H7" s="2" t="str">
        <x:v>用户使用产品化妆</x:v>
      </x:c>
      <x:c r="I7" s="2" t="str">
        <x:v>结合品类预设单次用量、使用频次、
步骤完成记录和图像识别结果
自动估算消耗并回写余量。</x:v>
      </x:c>
      <x:c r="J7" s="2"/>
      <x:c r="K7" s="2"/>
      <x:c r="L7" s="2" t="str">
        <x:v>V0.1</x:v>
      </x:c>
      <x:c r="M7" s="2"/>
      <x:c r="N7" s="2" t="str">
        <x:v>可行路线：基于 UserProductUsageProfile 和 UserProductUsageRecord 建立规则型消耗模型。为每个 subCategory 配置默认单次消耗百分比和频率权重；Execution 完成步骤时按所用产品扣减，最近 7/30 天记录用于校准用户个人速度；视觉识别结果仅作为低置信度补充。后端提供 usage recalculation service，前端在资产详情展示预计可用天数、低余量提醒和手动校准入口。准确性保障：每次自动扣减都写 usage record，用户修正会反向更新 profile。难点中等，精确消耗量不可保证。平替：先按步骤完成记录 + 用户频率估算，不接视觉。</x:v>
      </x:c>
    </x:row>
    <x:row r="8">
      <x:c r="A8" s="2" t="n">
        <x:v>7</x:v>
      </x:c>
      <x:c r="B8" s="2" t="n">
        <x:v>13</x:v>
      </x:c>
      <x:c r="C8" s="2" t="str">
        <x:v>功能</x:v>
      </x:c>
      <x:c r="D8" s="2" t="str">
        <x:v>一、美妆资产数字化</x:v>
      </x:c>
      <x:c r="E8" s="2" t="str">
        <x:v>成分分析</x:v>
      </x:c>
      <x:c r="F8" s="2" t="str">
        <x:v>个性化成分分析</x:v>
      </x:c>
      <x:c r="G8" s="2" t="str">
        <x:v>1. 结合用户肤质（干/油/敏/中）生成个性化成分适配报告，预警致痘、致敏风险
2.支持成分对比功能
3.新增成分科普词条</x:v>
      </x:c>
      <x:c r="H8" s="2" t="str">
        <x:v>用户信息与对比选择</x:v>
      </x:c>
      <x:c r="I8" s="2" t="str">
        <x:v>结合用户肤质/敏感度/历史反馈与成分知识库
生成个性化适配报告和风险提示。</x:v>
      </x:c>
      <x:c r="J8" s="2"/>
      <x:c r="K8" s="2"/>
      <x:c r="L8" s="2" t="str">
        <x:v>V0.2</x:v>
      </x:c>
      <x:c r="M8" s="2"/>
      <x:c r="N8" s="2" t="str">
        <x:v>可行路线：复用 Ingredient、ProductIngredient、IngredientAnalysis。先导入 CosIng/FDA/人工维护的 INCI 成分名、常见功能、敏感肌关注、孕期/致痘/致敏风险标签；产品成分来自商品库或 OCR。分析引擎用确定性规则生成 riskLevel、constraintTags、skinTypeNotes、recommendationWarnings，LLM 只负责把结构化事实改写成可读说明。前端支持用户肤质、过敏/避雷成分、产品对比。准确性保障：避免医疗诊断措辞，输出“风险提示/科普”而非治疗结论，规则可回溯。难点：风险标签需要专业维护。平替：先做基础成分解释和敏感肌提醒，个性化报告逐步扩规则库。</x:v>
      </x:c>
    </x:row>
    <x:row r="9">
      <x:c r="A9" s="2" t="n">
        <x:v>8</x:v>
      </x:c>
      <x:c r="B9" s="2" t="n">
        <x:v>16</x:v>
      </x:c>
      <x:c r="C9" s="2" t="str">
        <x:v>说明</x:v>
      </x:c>
      <x:c r="D9" s="2" t="str">
        <x:v>一、美妆资产数字化</x:v>
      </x:c>
      <x:c r="E9" s="2" t="str">
        <x:v>化妆台</x:v>
      </x:c>
      <x:c r="F9" s="2" t="str">
        <x:v>化妆台展示</x:v>
      </x:c>
      <x:c r="G9" s="2" t="str">
        <x:v>1.3D展示化妆台，可手动拖拽产品布局
2.支持化妆台皮肤购买切换（也可以发帖积分兑换，可联名热门IP,例如芭比、三丽鸥等）</x:v>
      </x:c>
      <x:c r="H9" s="2" t="str">
        <x:v>无</x:v>
      </x:c>
      <x:c r="I9" s="2" t="str">
        <x:v>基于商品主图和用户分类数据生成虚拟化妆台，
后续扩展 3D 渲染、自由布局和主题/IP 皮肤系统。</x:v>
      </x:c>
      <x:c r="J9" s="2"/>
      <x:c r="K9" s="2"/>
      <x:c r="L9" s="2" t="str">
        <x:v>V0.2</x:v>
      </x:c>
      <x:c r="M9" s="2"/>
      <x:c r="N9" s="2" t="str">
        <x:v>可行路线：3人团队先做 2.5D 虚拟化妆台：前端用现有 React Native + Reanimated/手势拖拽，产品用 product.image/imageUrls 作为可拖动卡片，布局 JSON 存到后端 Vanity/用户设置；Web 端可用 CSS transform，后续再引入 Three.js 做真实 3D 场景。皮肤系统本质是主题配置和背景/货架资产包，积分兑换只影响 themeId。难点：跨端 3D 拖拽、碰撞、性能和 IP 授权都重。平替：先做可拖拽 2D/等距货架 + 多套主题背景，保留数据结构兼容未来 3D。</x:v>
      </x:c>
    </x:row>
    <x:row r="10">
      <x:c r="A10" s="2" t="n">
        <x:v>9</x:v>
      </x:c>
      <x:c r="B10" s="2" t="n">
        <x:v>18</x:v>
      </x:c>
      <x:c r="C10" s="2" t="str">
        <x:v>说明</x:v>
      </x:c>
      <x:c r="D10" s="2" t="str">
        <x:v>一、美妆资产数字化</x:v>
      </x:c>
      <x:c r="E10" s="2" t="str">
        <x:v>用户资料</x:v>
      </x:c>
      <x:c r="F10" s="2" t="str">
        <x:v>用户基本信息</x:v>
      </x:c>
      <x:c r="G10" s="2" t="str">
        <x:v>AI图像识别，自动生成肤质报告</x:v>
      </x:c>
      <x:c r="H10" s="2" t="str">
        <x:v>拍照</x:v>
      </x:c>
      <x:c r="I10" s="2" t="str">
        <x:v>基于自拍图像与轻量化视觉模型分析肤质、
肤色和面部状态，自动生成肤质报告并联动妆容推荐。</x:v>
      </x:c>
      <x:c r="J10" s="2"/>
      <x:c r="K10" s="2"/>
      <x:c r="L10" s="2" t="str">
        <x:v>V0.2</x:v>
      </x:c>
      <x:c r="M10" s="2"/>
      <x:c r="N10" s="2" t="str">
        <x:v>可行路线：前端引导自拍，先做光线/角度/遮挡校验；后端调用现有 OpenAI-compatible VLM/Qwen-VL 生成结构化肤质观察，再写入 UserConditionSnapshot：skinTone、skinType hint、faceShape、visible concerns、confidence。推荐系统只把它作为“辅助画像”，和用户手填肤质共同决定推荐。准确性保障：提示词和 JSON schema 限定为可见现象，不诊断皮肤病；同一照片保存模型输出和置信度，用户可手动改。难点：单张照片受光照、滤镜、相机影响很大，自动肤质不一定准。平替：问卷为主，图片只给“疑似偏油/泛红/肤色区间”等提示。</x:v>
      </x:c>
    </x:row>
    <x:row r="11">
      <x:c r="A11" s="2" t="n">
        <x:v>10</x:v>
      </x:c>
      <x:c r="B11" s="2" t="n">
        <x:v>21</x:v>
      </x:c>
      <x:c r="C11" s="2" t="str">
        <x:v>功能</x:v>
      </x:c>
      <x:c r="D11" s="2" t="str">
        <x:v>二.AI 妆容生成与执行</x:v>
      </x:c>
      <x:c r="E11" s="2" t="str">
        <x:v>模版库</x:v>
      </x:c>
      <x:c r="F11" s="2" t="str">
        <x:v>自定义模板库</x:v>
      </x:c>
      <x:c r="G11" s="2" t="str">
        <x:v>1. 用户可上传自己的妆容照片 + 文字步骤，生成个人专属模板
2. 支持对官方模板修改后另存为个人模板，可标记“常用”置顶
3. 支持社区模板一键收藏或下载到本地模板库
4.支持对个人模板进行重命名、删除、排序、分组（如 “日常通勤组”“约会组”）
5.支持“同步到云端”，多设备登录可查看所有个人模板</x:v>
      </x:c>
      <x:c r="H11" s="2" t="str">
        <x:v>图片上传，可手动修改，云储存</x:v>
      </x:c>
      <x:c r="I11" s="2" t="str">
        <x:v>支持用户上传妆容图文生成个人模板，
云端存储并支持分类、收藏、共享和多设备同步。</x:v>
      </x:c>
      <x:c r="J11" s="2"/>
      <x:c r="K11" s="2"/>
      <x:c r="L11" s="2" t="str">
        <x:v>V0.2</x:v>
      </x:c>
      <x:c r="M11" s="2"/>
      <x:c r="N11" s="2" t="str">
        <x:v>可行路线：沿用 GeneratedMakeupTemplate、GeneratedTemplateStep、TemplateProductSlot 的结构，新增个人模板 CRUD 能力：保存官方模板副本、上传妆容图和文字步骤、重命名、删除、排序、分组、置顶、收藏、云端同步。上传图片进入对象存储或本地 media 目录，LLM/OCR 将用户文字和图片描述抽成标准 step schema，用户确认后落库；社区收藏通过复制 replicableTemplate 或 sourceTemplateId 生成个人模板。准确性保障：所有 AI 生成步骤都进入编辑确认页。难点中等。平替：先支持“官方模板另存 + 手动编辑 + 收藏”，用户上传图文自动拆步骤后置。</x:v>
      </x:c>
    </x:row>
    <x:row r="12">
      <x:c r="A12" s="2" t="n">
        <x:v>11</x:v>
      </x:c>
      <x:c r="B12" s="2" t="n">
        <x:v>22</x:v>
      </x:c>
      <x:c r="C12" s="2" t="str">
        <x:v>功能</x:v>
      </x:c>
      <x:c r="D12" s="2" t="str">
        <x:v>二.AI 妆容生成与执行</x:v>
      </x:c>
      <x:c r="E12" s="2" t="str">
        <x:v>模版库</x:v>
      </x:c>
      <x:c r="F12" s="2" t="str">
        <x:v>芭比娃娃模式</x:v>
      </x:c>
      <x:c r="G12" s="2" t="str">
        <x:v>1.用户可以选用不同产品在“独属娃娃”上化妆，进行二次元人设展示，存入自我模版库
2.支持自定义娃娃脸型 / 肤色 / 发型 / 瞳色等
3.可以在社区分享娃娃装扮获取积分，积分兑换娃娃附属衣服、饰品等</x:v>
      </x:c>
      <x:c r="H12" s="2" t="str">
        <x:v>待调研</x:v>
      </x:c>
      <x:c r="I12" s="2" t="str">
        <x:v>待调研</x:v>
      </x:c>
      <x:c r="J12" s="2"/>
      <x:c r="K12" s="2"/>
      <x:c r="L12" s="2" t="str">
        <x:v>V0.3</x:v>
      </x:c>
      <x:c r="M12" s="2"/>
      <x:c r="N12" s="2" t="str">
        <x:v>可行路线：高难。建议把“芭比娃娃模式”定义为 Avatar/虚拟人设系统，而不是一开始做真实 3D 换妆。MVP 用 Canvas/SVG/图片图层或 Three.js 简单模型实现脸型、肤色、发型、瞳色、口红、眼影、腮红等参数化图层；产品选择映射到颜色/妆效 layer，保存为个人模板和 postType=doll_post。积分兑换只是解锁 avatar assets。难点：高质量 3D 娃娃、妆效真实感、服饰资产和热门 IP 授权都超出小团队短期能力。平替：先做 2D Q版/纸娃娃预设 + 色板换装，不使用未授权 IP。</x:v>
      </x:c>
    </x:row>
    <x:row r="13">
      <x:c r="A13" s="2" t="n">
        <x:v>12</x:v>
      </x:c>
      <x:c r="B13" s="2" t="n">
        <x:v>24</x:v>
      </x:c>
      <x:c r="C13" s="2" t="str">
        <x:v>功能</x:v>
      </x:c>
      <x:c r="D13" s="2" t="str">
        <x:v>二.AI 妆容生成与执行</x:v>
      </x:c>
      <x:c r="E13" s="2" t="str">
        <x:v>AI妆容生成</x:v>
      </x:c>
      <x:c r="F13" s="2" t="str">
        <x:v>AI个性化妆容生成</x:v>
      </x:c>
      <x:c r="G13" s="2" t="str">
        <x:v>1.根据用户自然语言输入以及用户基本信息，在模板基础上修改生成满足要求妆容
2.缺失产品与替代品推荐（同功效平替/升级款）</x:v>
      </x:c>
      <x:c r="H13" s="2" t="str">
        <x:v>用户与AI化妆师对话</x:v>
      </x:c>
      <x:c r="I13" s="2" t="str">
        <x:v>基于多模态大模型、专业模板库和用户产品白名单
生成结构化妆容方案，保证妆容真实可执行</x:v>
      </x:c>
      <x:c r="J13" s="2"/>
      <x:c r="K13" s="2"/>
      <x:c r="L13" s="2" t="str">
        <x:v>V0.3</x:v>
      </x:c>
      <x:c r="M13" s="2"/>
      <x:c r="N13" s="2" t="str">
        <x:v>可行路线：复用 makeup-templates 模块。输入自然语言后先做 intent parsing，输出 scene/style/effect/constraints 的结构化 JSON；再用标准模板库检索匹配，结合 UserConditionSnapshot、UserProductSnapshot 和 TemplateProductSlot 做产品白名单匹配；缺失产品从 Product 库按 subCategory、effect tags、价格/halal/肤质约束召回平替。生成结果落 GeneratedMakeupTemplate 和 Recommendation，前端只展示通过 schema 校验的步骤。准确性保障：LLM 输出必须经过 JSON schema、步骤完整性、产品可用性、禁忌/过敏规则校验。难点中等，当前代码已有较多基础。平替：先规则匹配模板 + LLM 润色说明。</x:v>
      </x:c>
    </x:row>
    <x:row r="14">
      <x:c r="A14" s="2" t="n">
        <x:v>13</x:v>
      </x:c>
      <x:c r="B14" s="2" t="n">
        <x:v>26</x:v>
      </x:c>
      <x:c r="C14" s="2" t="str">
        <x:v>功能</x:v>
      </x:c>
      <x:c r="D14" s="2" t="str">
        <x:v>二.AI 妆容生成与执行</x:v>
      </x:c>
      <x:c r="E14" s="2" t="str">
        <x:v>AI妆效预览</x:v>
      </x:c>
      <x:c r="F14" s="2" t="str">
        <x:v>3D预览</x:v>
      </x:c>
      <x:c r="G14" s="2" t="str">
        <x:v>1.支持3D人脸妆效预览，支持实时拖动查看不同角度效果
2. 支持拖动滑块，实时调整全脸 或局部妆效的浓淡
3. 支持切换不同光线环境（室内、室外、暖光、冷光），预览妆效变化</x:v>
      </x:c>
      <x:c r="H14" s="2" t="str">
        <x:v>图片上传，自然语言修改</x:v>
      </x:c>
      <x:c r="I14" s="2" t="str">
        <x:v>待调查</x:v>
      </x:c>
      <x:c r="J14" s="2"/>
      <x:c r="K14" s="2"/>
      <x:c r="L14" s="2" t="str">
        <x:v>V0.3</x:v>
      </x:c>
      <x:c r="M14" s="2"/>
      <x:c r="N14" s="2" t="str">
        <x:v>可行路线：高难。真实 3D 人脸妆效需要 Face Landmarker/ARKit 获取人脸关键点，构建或拟合 3D face mesh，再用 Three.js/Skia shader 贴口红、腮红、眼影等局部纹理，滑杆调 alpha/颜色，灯光环境通过材质和 renderer 参数模拟。更可行的产品路线是：继续使用 ComfyUI/Stable Makeup 做 2D 妆前妆后预览，增加局部强度参数和左右/滑动对比；3D 仅做轻量 AR mask 定位展示。难点：跨端实时 3D、肤色融合、遮挡和不同角度一致性。平替：2D AI 预览 + 关键点贴片 + 滑动对比先上线。</x:v>
      </x:c>
    </x:row>
    <x:row r="15">
      <x:c r="A15" s="2" t="n">
        <x:v>14</x:v>
      </x:c>
      <x:c r="B15" s="2" t="n">
        <x:v>29</x:v>
      </x:c>
      <x:c r="C15" s="2" t="str">
        <x:v>功能</x:v>
      </x:c>
      <x:c r="D15" s="2"/>
      <x:c r="E15" s="2"/>
      <x:c r="F15" s="2" t="str">
        <x:v>AI化妆师实时跟妆update</x:v>
      </x:c>
      <x:c r="G15" s="2" t="str">
        <x:v>1. 支持多轮对话修改：用户说出调整需求（如 “把口红换成豆沙色”“加重腮红”），AI 实时更新妆容方案
2. 指令识别失败时，给出 3 个引导式提问，明确用户需求
3. 功能页面右下角设置“反馈”按钮，支持文字 + 图片提交问题
4.拿到用户数据后进行模型训练微调</x:v>
      </x:c>
      <x:c r="H15" s="2" t="str">
        <x:v>用户打开摄像头，AI化妆师实时对话跟妆</x:v>
      </x:c>
      <x:c r="I15" s="2" t="str">
        <x:v>基于步骤状态机、实时语音交互和局部 ROI 视觉检测，
实现动态妆容调整、错误纠正、用户反馈收集与美妆垂直模型持续微调</x:v>
      </x:c>
      <x:c r="J15" s="2"/>
      <x:c r="K15" s="2"/>
      <x:c r="L15" s="2" t="str">
        <x:v>V0.1</x:v>
      </x:c>
      <x:c r="M15" s="2"/>
      <x:c r="N15" s="2" t="str">
        <x:v>可行路线：在现有 /makeup/coach、/makeup/coach/voice、WebSocket realtime 上扩展会话状态。ASR 转文字后进入 intent router，识别换色、加重、减淡、替换产品、反馈问题等意图；LLM 返回 JSON Patch，只允许修改 GeneratedMakeupTemplate 的步骤、slot 和 guidance，经产品可用性/安全规则校验后推给前端实时更新。画面帧按 3-5 秒采样给 VLM 判断，不做每帧重模型推理。反馈按钮创建 TemplateEvent/Issue，带文字和可选截图。难点：实时视觉纠错和多轮状态一致性。平替：先做“截图+语音的回合制修改”，等数据稳定后再训练/微调。</x:v>
      </x:c>
    </x:row>
    <x:row r="16">
      <x:c r="A16" s="2" t="n">
        <x:v>15</x:v>
      </x:c>
      <x:c r="B16" s="2" t="n">
        <x:v>31</x:v>
      </x:c>
      <x:c r="C16" s="2" t="str">
        <x:v>功能</x:v>
      </x:c>
      <x:c r="D16" s="2" t="str">
        <x:v>三.社区共享</x:v>
      </x:c>
      <x:c r="E16" s="2" t="str">
        <x:v>妆容社区</x:v>
      </x:c>
      <x:c r="F16" s="2" t="str">
        <x:v>妆容社区互动update</x:v>
      </x:c>
      <x:c r="G16" s="2" t="str">
        <x:v>1.芭比娃娃妆容分享
2.开设不同妆容圈，如cos，职场，旅行，恋爱等
3.按“热度+用户偏好+发布时间” 综合排序，优质内容置顶
4.根据粉丝数量和优质帖子，可申请成为美妆达人。达人权益：专属标识、流量扶持、内容变现、优先体验新功能</x:v>
      </x:c>
      <x:c r="H16" s="2" t="str">
        <x:v>待调研</x:v>
      </x:c>
      <x:c r="I16" s="2" t="str">
        <x:v>待调研</x:v>
      </x:c>
      <x:c r="J16" s="2"/>
      <x:c r="K16" s="2"/>
      <x:c r="L16" s="2" t="str">
        <x:v>V0.1</x:v>
      </x:c>
      <x:c r="M16" s="2"/>
      <x:c r="N16" s="2" t="str">
        <x:v>可行路线：复用 Post、PostComment、PostReaction，增加 Circle 配置、postType、tags、moderationStatus、creatorBadge 等字段或轻量配置表。社区首页按 circle + viewer preference + 热度分排序，热度公式为 likes、favorites、comments、发布时间衰减和优质置顶权重；达人申请用用户帖子数、互动率、被收藏数生成资格页，人工审核后加 badge。芭比娃娃分享作为 doll_post 使用 images/replicableTemplate。准确性保障：排序公式可解释，后台保留手动置顶/下架。难点低到中。平替：先静态圈子 + 公式排序 + 手动达人标识。</x:v>
      </x:c>
    </x:row>
    <x:row r="17">
      <x:c r="A17" s="2" t="n">
        <x:v>16</x:v>
      </x:c>
      <x:c r="B17" s="2" t="n">
        <x:v>32</x:v>
      </x:c>
      <x:c r="C17" s="2" t="str">
        <x:v>功能</x:v>
      </x:c>
      <x:c r="D17" s="2" t="str">
        <x:v>三.社区共享</x:v>
      </x:c>
      <x:c r="E17" s="2" t="str">
        <x:v>产品社区</x:v>
      </x:c>
      <x:c r="F17" s="2" t="str">
        <x:v>产品使用分享</x:v>
      </x:c>
      <x:c r="G17" s="2" t="str">
        <x:v>1.发布使用贴，建立不同产品类别圈（如粉底，隔离等）可讨论使用效果
2.支持按 “好评度、价格、销量”等 筛选产品帖子</x:v>
      </x:c>
      <x:c r="H17" s="2" t="str">
        <x:v>搜索与发帖</x:v>
      </x:c>
      <x:c r="I17" s="2" t="str">
        <x:v>建立产品种草与真实使用分享社区，支持按品类、功效、
价格和销量进行内容标签化与搜索推荐</x:v>
      </x:c>
      <x:c r="J17" s="2"/>
      <x:c r="K17" s="2"/>
      <x:c r="L17" s="2" t="str">
        <x:v>V0.1</x:v>
      </x:c>
      <x:c r="M17" s="2"/>
      <x:c r="N17" s="2" t="str">
        <x:v>可行路线：用同一个 Posts 模块扩展产品社区：postType=product_review，relatedProducts 绑定 Product/UserProduct，新增评分、价格区间、肤质、妆效标签、购买渠道字段；产品详情页展示该产品相关帖子和筛选。搜索用 productId/category/subCategory/tags，排序支持 recent、helpful、rating、price。前端发帖时从用户化妆台选择产品，后端校验 relatedProducts 存在。难点低，主要是信息架构和审核。平替：先把产品使用贴作为普通社区帖的一种，显示产品 chips 和按产品筛选。</x:v>
      </x:c>
    </x:row>
    <x:row r="18">
      <x:c r="A18" s="2" t="n">
        <x:v>17</x:v>
      </x:c>
      <x:c r="B18" s="2" t="n">
        <x:v>34</x:v>
      </x:c>
      <x:c r="C18" s="2" t="str">
        <x:v>功能</x:v>
      </x:c>
      <x:c r="D18" s="2" t="str">
        <x:v>四.补购导购与商业闭环</x:v>
      </x:c>
      <x:c r="E18" s="2" t="str">
        <x:v>化妆品商城</x:v>
      </x:c>
      <x:c r="F18" s="2" t="str">
        <x:v>商城搭建</x:v>
      </x:c>
      <x:c r="G18" s="2" t="str">
        <x:v>接入跨境电商多平台一键购入，打通全球补购链接</x:v>
      </x:c>
      <x:c r="H18" s="2" t="str">
        <x:v>用户进入商城</x:v>
      </x:c>
      <x:c r="I18" s="2" t="str">
        <x:v>接入电商平台、品牌联盟和商品链接 API，
实现商品展示、一键跳转购买与订单转化追踪</x:v>
      </x:c>
      <x:c r="J18" s="2"/>
      <x:c r="K18" s="2"/>
      <x:c r="L18" s="2" t="str">
        <x:v>V0.1</x:v>
      </x:c>
      <x:c r="M18" s="2"/>
      <x:c r="N18" s="2" t="str">
        <x:v>可行路线：先不要自建支付闭环，做导购/跳转型商城。后端新增 ProductOffer/PurchaseChannel/ClickTracking：商品、平台、价格、库存状态、affiliate/UTM 链接、lastCheckedAt；导购推荐由 VanityService 的 repurchaseSuggestions、低余量、临期、缺失 slot 触发。平台接入优先级：自有 Shopify Storefront 或品牌联盟 API &gt; Amazon/其他联盟 &gt; TikTok/Shopee 等需要账号资质的平台；前端打开外部链接或小程序。难点：跨境电商 API 资质、佣金合规、价格库存实时性、售后责任。平替：先维护精选购买链接和跳转统计，不处理订单和支付。</x:v>
      </x:c>
    </x:row>
    <x:row r="19">
      <x:c r="A19" s="2" t="n">
        <x:v>18</x:v>
      </x:c>
      <x:c r="B19" s="2" t="n">
        <x:v>35</x:v>
      </x:c>
      <x:c r="C19" s="2" t="str">
        <x:v>功能</x:v>
      </x:c>
      <x:c r="D19" s="2" t="str">
        <x:v>四.补购导购与商业闭环</x:v>
      </x:c>
      <x:c r="E19" s="2" t="str">
        <x:v>B端数据洞察</x:v>
      </x:c>
      <x:c r="F19" s="2" t="str">
        <x:v>用户使用数据收集</x:v>
      </x:c>
      <x:c r="G19" s="2" t="str">
        <x:v>用户化妆品使用记录，使用情况，反馈效果，全量匿名记录</x:v>
      </x:c>
      <x:c r="H19" s="2" t="str">
        <x:v>用户使用APP</x:v>
      </x:c>
      <x:c r="I19" s="2" t="str">
        <x:v>通过前端埋点、行为日志和使用记录采集用户生成、
跟妆、收藏、购买等行为数据，用于推荐优化与模型训练</x:v>
      </x:c>
      <x:c r="J19" s="2"/>
      <x:c r="K19" s="2"/>
      <x:c r="L19" s="2" t="str">
        <x:v>MVP+V0.1+V0.2</x:v>
      </x:c>
      <x:c r="M19" s="2"/>
      <x:c r="N19" s="2" t="str">
        <x:v>可行路线：建立一套一方事件管线。前端封装 track(eventName,payload)，覆盖登录、扫码、添加产品、搜索、模板生成、执行步骤、教练问答、发帖互动、补购点击；后端写入 TemplateEvent 或新增 AnalyticsEvent，使用匿名 userId hash、sessionId、appVersion、eventTime、payload JSON，禁止上传原始人脸图和音频。Postgres 先做物化视图/定时聚合，Dashboard 输出 DAU、转化漏斗、模板完成率、产品使用频次、补购点击；后续接 Metabase/Superset 或 ClickHouse。服务观测用 OpenTelemetry traces/logs。难点：隐私合规和事件口径治理。平替：先用 Postgres 事件表 + CSV 导出。</x:v>
      </x:c>
    </x:row>
  </x:sheetData>
  <x:pageMargins left="0.7" right="0.7" top="0.75" bottom="0.75" header="0.3" footer="0.3"/>
  <x:tableParts count="1">
    <x:tablePart xmlns:r="http://schemas.openxmlformats.org/officeDocument/2006/relationships" r:id="Rd321089fbf5048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28.940000534057617" hidden="0" customWidth="1"/>
    <x:col min="3" max="3" width="69.30999755859375" hidden="0" customWidth="1"/>
    <x:col min="4" max="4" width="55.849998474121094" hidden="0" customWidth="1"/>
  </x:cols>
  <x:sheetData>
    <x:row r="1">
      <x:c r="A1" s="5" t="str">
        <x:v>类别</x:v>
      </x:c>
      <x:c r="B1" s="5" t="str">
        <x:v>来源</x:v>
      </x:c>
      <x:c r="C1" s="5" t="str">
        <x:v>链接</x:v>
      </x:c>
      <x:c r="D1" s="5" t="str">
        <x:v>用于判断</x:v>
      </x:c>
    </x:row>
    <x:row r="2">
      <x:c r="A2" s="2" t="str">
        <x:v>移动端扫码/相机</x:v>
      </x:c>
      <x:c r="B2" s="2" t="str">
        <x:v>Expo Camera 文档</x:v>
      </x:c>
      <x:c r="C2" s="2" t="str">
        <x:v>https://docs.expo.dev/versions/latest/sdk/camera/</x:v>
      </x:c>
      <x:c r="D2" s="2" t="str">
        <x:v>CameraView 支持拍照、录像和条码检测。</x:v>
      </x:c>
    </x:row>
    <x:row r="3">
      <x:c r="A3" s="2" t="str">
        <x:v>移动端实时帧</x:v>
      </x:c>
      <x:c r="B3" s="2" t="str">
        <x:v>VisionCamera Frame Output</x:v>
      </x:c>
      <x:c r="C3" s="2" t="str">
        <x:v>https://visioncamera.margelo.com/docs/frame-output</x:v>
      </x:c>
      <x:c r="D3" s="2" t="str">
        <x:v>实时帧处理、worklet、像素格式和帧释放要求。</x:v>
      </x:c>
    </x:row>
    <x:row r="4">
      <x:c r="A4" s="2" t="str">
        <x:v>条码扫描</x:v>
      </x:c>
      <x:c r="B4" s="2" t="str">
        <x:v>VisionCamera Barcode Scanner</x:v>
      </x:c>
      <x:c r="C4" s="2" t="str">
        <x:v>https://visioncamera.margelo.com/docs/barcode-scanner</x:v>
      </x:c>
      <x:c r="D4" s="2" t="str">
        <x:v>基于 ML Kit 的跨 iOS/Android 条码扫描能力。</x:v>
      </x:c>
    </x:row>
    <x:row r="5">
      <x:c r="A5" s="2" t="str">
        <x:v>条码扫描</x:v>
      </x:c>
      <x:c r="B5" s="2" t="str">
        <x:v>Google ML Kit Barcode Scanning</x:v>
      </x:c>
      <x:c r="C5" s="2" t="str">
        <x:v>https://developers.google.com/ml-kit/vision/barcode-scanning</x:v>
      </x:c>
      <x:c r="D5" s="2" t="str">
        <x:v>端侧条码识别、支持格式和限制。</x:v>
      </x:c>
    </x:row>
    <x:row r="6">
      <x:c r="A6" s="2" t="str">
        <x:v>OCR</x:v>
      </x:c>
      <x:c r="B6" s="2" t="str">
        <x:v>Google ML Kit Text Recognition v2</x:v>
      </x:c>
      <x:c r="C6" s="2" t="str">
        <x:v>https://developers.google.com/ml-kit/vision/text-recognition/v2</x:v>
      </x:c>
      <x:c r="D6" s="2" t="str">
        <x:v>移动端文字识别路线参考。</x:v>
      </x:c>
    </x:row>
    <x:row r="7">
      <x:c r="A7" s="2" t="str">
        <x:v>人脸关键点</x:v>
      </x:c>
      <x:c r="B7" s="2" t="str">
        <x:v>MediaPipe Face Landmarker</x:v>
      </x:c>
      <x:c r="C7" s="2" t="str">
        <x:v>https://ai.google.dev/edge/mediapipe/solutions/vision/face_landmarker/ios</x:v>
      </x:c>
      <x:c r="D7" s="2" t="str">
        <x:v>人脸 landmark/表情检测路线参考。</x:v>
      </x:c>
    </x:row>
    <x:row r="8">
      <x:c r="A8" s="2" t="str">
        <x:v>3D 渲染</x:v>
      </x:c>
      <x:c r="B8" s="2" t="str">
        <x:v>Three.js Docs</x:v>
      </x:c>
      <x:c r="C8" s="2" t="str">
        <x:v>https://threejs.org/docs/</x:v>
      </x:c>
      <x:c r="D8" s="2" t="str">
        <x:v>Web 端 3D 场景、材质、灯光和渲染路线参考。</x:v>
      </x:c>
    </x:row>
    <x:row r="9">
      <x:c r="A9" s="2" t="str">
        <x:v>模糊搜索</x:v>
      </x:c>
      <x:c r="B9" s="2" t="str">
        <x:v>PostgreSQL pg_trgm</x:v>
      </x:c>
      <x:c r="C9" s="2" t="str">
        <x:v>https://www.postgresql.org/docs/17/pgtrgm.html</x:v>
      </x:c>
      <x:c r="D9" s="2" t="str">
        <x:v>三元组相似度和索引支持。</x:v>
      </x:c>
    </x:row>
    <x:row r="10">
      <x:c r="A10" s="2" t="str">
        <x:v>全文搜索</x:v>
      </x:c>
      <x:c r="B10" s="2" t="str">
        <x:v>PostgreSQL Full Text Search</x:v>
      </x:c>
      <x:c r="C10" s="2" t="str">
        <x:v>https://www.postgresql.org/docs/current/datatype-textsearch.html</x:v>
      </x:c>
      <x:c r="D10" s="2" t="str">
        <x:v>tsvector/tsquery 检索能力。</x:v>
      </x:c>
    </x:row>
    <x:row r="11">
      <x:c r="A11" s="2" t="str">
        <x:v>向量检索</x:v>
      </x:c>
      <x:c r="B11" s="2" t="str">
        <x:v>pgvector</x:v>
      </x:c>
      <x:c r="C11" s="2" t="str">
        <x:v>https://github.com/pgvector/pgvector</x:v>
      </x:c>
      <x:c r="D11" s="2" t="str">
        <x:v>Postgres 向量相似度检索扩展。</x:v>
      </x:c>
    </x:row>
    <x:row r="12">
      <x:c r="A12" s="2" t="str">
        <x:v>商品/条码数据</x:v>
      </x:c>
      <x:c r="B12" s="2" t="str">
        <x:v>Open Food Facts Product Opener API</x:v>
      </x:c>
      <x:c r="C12" s="2" t="str">
        <x:v>https://openfoodfacts.github.io/documentation/docs/Product-Opener/api/</x:v>
      </x:c>
      <x:c r="D12" s="2" t="str">
        <x:v>Open Beauty Facts/Product Opener 数据接口参考。</x:v>
      </x:c>
    </x:row>
    <x:row r="13">
      <x:c r="A13" s="2" t="str">
        <x:v>成分数据</x:v>
      </x:c>
      <x:c r="B13" s="2" t="str">
        <x:v>European Commission CosIng</x:v>
      </x:c>
      <x:c r="C13" s="2" t="str">
        <x:v>https://single-market-economy.ec.europa.eu/sectors/cosmetics/cosmetic-ingredient-database_en</x:v>
      </x:c>
      <x:c r="D13" s="2" t="str">
        <x:v>化妆品成分名和法规信息来源。</x:v>
      </x:c>
    </x:row>
    <x:row r="14">
      <x:c r="A14" s="2" t="str">
        <x:v>成分/标签合规</x:v>
      </x:c>
      <x:c r="B14" s="2" t="str">
        <x:v>FDA Cosmetics Labeling Regulations</x:v>
      </x:c>
      <x:c r="C14" s="2" t="str">
        <x:v>https://www.fda.gov/cosmetics/cosmetics-labeling/cosmetics-labeling-regulations</x:v>
      </x:c>
      <x:c r="D14" s="2" t="str">
        <x:v>成分标签和合规措辞参考。</x:v>
      </x:c>
    </x:row>
    <x:row r="15">
      <x:c r="A15" s="2" t="str">
        <x:v>结构化 LLM 输出</x:v>
      </x:c>
      <x:c r="B15" s="2" t="str">
        <x:v>OpenAI Structured Outputs</x:v>
      </x:c>
      <x:c r="C15" s="2" t="str">
        <x:v>https://platform.openai.com/docs/guides/structured-outputs</x:v>
      </x:c>
      <x:c r="D15" s="2" t="str">
        <x:v>JSON Schema/结构化模型输出思路。</x:v>
      </x:c>
    </x:row>
    <x:row r="16">
      <x:c r="A16" s="2" t="str">
        <x:v>实时语音</x:v>
      </x:c>
      <x:c r="B16" s="2" t="str">
        <x:v>OpenAI Realtime API</x:v>
      </x:c>
      <x:c r="C16" s="2" t="str">
        <x:v>https://platform.openai.com/docs/api-reference/realtime</x:v>
      </x:c>
      <x:c r="D16" s="2" t="str">
        <x:v>实时语音/音频交互路线参考，实际可替换为 OpenAI-compatible/Qwen。</x:v>
      </x:c>
    </x:row>
    <x:row r="17">
      <x:c r="A17" s="2" t="str">
        <x:v>埋点/观测</x:v>
      </x:c>
      <x:c r="B17" s="2" t="str">
        <x:v>OpenTelemetry Semantic Conventions</x:v>
      </x:c>
      <x:c r="C17" s="2" t="str">
        <x:v>https://opentelemetry.io/docs/concepts/semantic-conventions/</x:v>
      </x:c>
      <x:c r="D17" s="2" t="str">
        <x:v>事件、日志、指标、链路命名规范参考。</x:v>
      </x:c>
    </x:row>
    <x:row r="18">
      <x:c r="A18" s="2" t="str">
        <x:v>商城</x:v>
      </x:c>
      <x:c r="B18" s="2" t="str">
        <x:v>Shopify Storefront API</x:v>
      </x:c>
      <x:c r="C18" s="2" t="str">
        <x:v>https://shopify.dev/docs/storefronts/headless/building-with-the-storefront-api</x:v>
      </x:c>
      <x:c r="D18" s="2" t="str">
        <x:v>商品展示、购物车和结算能力参考。</x:v>
      </x:c>
    </x:row>
    <x:row r="19">
      <x:c r="A19" s="2" t="str">
        <x:v>商城</x:v>
      </x:c>
      <x:c r="B19" s="2" t="str">
        <x:v>Amazon Product Advertising API</x:v>
      </x:c>
      <x:c r="C19" s="2" t="str">
        <x:v>https://webservices.amazon.com/paapi5/documentation/quick-start/operations-and-resources.html</x:v>
      </x:c>
      <x:c r="D19" s="2" t="str">
        <x:v>商品搜索、图片、价格/offer 等联盟接口参考；注意迁移和资质限制。</x:v>
      </x:c>
    </x:row>
  </x:sheetData>
  <x:pageMargins left="0.7" right="0.7" top="0.75" bottom="0.75" header="0.3" footer="0.3"/>
  <x:tableParts count="1">
    <x:tablePart xmlns:r="http://schemas.openxmlformats.org/officeDocument/2006/relationships" r:id="R75c8405fd4ca4c7a"/>
  </x:tableParts>
</x:worksheet>
</file>