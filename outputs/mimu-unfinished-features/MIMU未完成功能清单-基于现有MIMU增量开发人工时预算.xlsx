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\MyMakeUpv0.1\MIMU\outputs\mimu-unfinished-features\"/>
    </mc:Choice>
  </mc:AlternateContent>
  <xr:revisionPtr revIDLastSave="0" documentId="11_2ABA83A5ADCE99986BC1AD1A64618EF219E4E6F8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估算口径" sheetId="1" r:id="rId1"/>
    <sheet name="开发预算汇总" sheetId="2" r:id="rId2"/>
    <sheet name="增量工时明细" sheetId="3" r:id="rId3"/>
    <sheet name="当前基础映射" sheetId="4" r:id="rId4"/>
    <sheet name="估算模型说明" sheetId="5" r:id="rId5"/>
    <sheet name="上线建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3" l="1"/>
  <c r="O19" i="3" s="1"/>
  <c r="L18" i="3"/>
  <c r="O18" i="3" s="1"/>
  <c r="O17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C7" i="2"/>
  <c r="H6" i="2"/>
  <c r="D6" i="2"/>
  <c r="C6" i="2"/>
  <c r="B6" i="2"/>
  <c r="H5" i="2"/>
  <c r="D5" i="2"/>
  <c r="C5" i="2"/>
  <c r="B5" i="2"/>
  <c r="H4" i="2"/>
  <c r="H7" i="2" s="1"/>
  <c r="D4" i="2"/>
  <c r="D7" i="2" s="1"/>
  <c r="C4" i="2"/>
  <c r="B4" i="2"/>
  <c r="B7" i="2" s="1"/>
  <c r="P19" i="3" l="1"/>
  <c r="S19" i="3"/>
  <c r="B6" i="6"/>
  <c r="C6" i="6" s="1"/>
  <c r="E6" i="2"/>
  <c r="P18" i="3"/>
  <c r="R18" i="3" s="1"/>
  <c r="S18" i="3"/>
  <c r="S17" i="3"/>
  <c r="P17" i="3"/>
  <c r="R17" i="3" s="1"/>
  <c r="O16" i="3"/>
  <c r="P16" i="3" s="1"/>
  <c r="R16" i="3" s="1"/>
  <c r="S16" i="3"/>
  <c r="O15" i="3"/>
  <c r="P15" i="3" s="1"/>
  <c r="R15" i="3" s="1"/>
  <c r="S15" i="3"/>
  <c r="O14" i="3"/>
  <c r="P14" i="3" s="1"/>
  <c r="R14" i="3" s="1"/>
  <c r="S14" i="3"/>
  <c r="S13" i="3"/>
  <c r="O13" i="3"/>
  <c r="P13" i="3" s="1"/>
  <c r="R13" i="3" s="1"/>
  <c r="O12" i="3"/>
  <c r="P12" i="3" s="1"/>
  <c r="R12" i="3" s="1"/>
  <c r="S12" i="3"/>
  <c r="S11" i="3"/>
  <c r="O11" i="3"/>
  <c r="P11" i="3" s="1"/>
  <c r="R11" i="3" s="1"/>
  <c r="S10" i="3"/>
  <c r="O10" i="3"/>
  <c r="P10" i="3" s="1"/>
  <c r="R10" i="3" s="1"/>
  <c r="S9" i="3"/>
  <c r="O9" i="3"/>
  <c r="P9" i="3" s="1"/>
  <c r="R9" i="3" s="1"/>
  <c r="S8" i="3"/>
  <c r="O8" i="3"/>
  <c r="P8" i="3" s="1"/>
  <c r="R8" i="3" s="1"/>
  <c r="S7" i="3"/>
  <c r="O7" i="3"/>
  <c r="P7" i="3" s="1"/>
  <c r="R7" i="3" s="1"/>
  <c r="O6" i="3"/>
  <c r="S6" i="3"/>
  <c r="S5" i="3"/>
  <c r="O5" i="3"/>
  <c r="R19" i="3" l="1"/>
  <c r="I6" i="2" s="1"/>
  <c r="G6" i="2"/>
  <c r="F6" i="2"/>
  <c r="J6" i="2"/>
  <c r="N6" i="2"/>
  <c r="B4" i="6"/>
  <c r="E4" i="2"/>
  <c r="P6" i="3"/>
  <c r="B5" i="6"/>
  <c r="C5" i="6" s="1"/>
  <c r="E5" i="2"/>
  <c r="P5" i="3"/>
  <c r="B7" i="6" l="1"/>
  <c r="C7" i="6" s="1"/>
  <c r="C4" i="6"/>
  <c r="F4" i="2"/>
  <c r="J4" i="2"/>
  <c r="N4" i="2"/>
  <c r="E7" i="2"/>
  <c r="R6" i="3"/>
  <c r="I4" i="2" s="1"/>
  <c r="G4" i="2"/>
  <c r="F5" i="2"/>
  <c r="J5" i="2"/>
  <c r="N5" i="2"/>
  <c r="R5" i="3"/>
  <c r="I5" i="2" s="1"/>
  <c r="G5" i="2"/>
  <c r="F7" i="2" l="1"/>
  <c r="J7" i="2"/>
  <c r="I7" i="2"/>
  <c r="G7" i="2"/>
</calcChain>
</file>

<file path=xl/sharedStrings.xml><?xml version="1.0" encoding="utf-8"?>
<sst xmlns="http://schemas.openxmlformats.org/spreadsheetml/2006/main" count="354" uniqueCount="227">
  <si>
    <t>MIMU 增量开发人工时估算口径</t>
  </si>
  <si>
    <t>项目</t>
  </si>
  <si>
    <t>值</t>
  </si>
  <si>
    <t>单位/口径</t>
  </si>
  <si>
    <t>说明</t>
  </si>
  <si>
    <t>估算基线</t>
  </si>
  <si>
    <t>当前 MIMU 代码库</t>
  </si>
  <si>
    <t>现在不继续开发，则新增开发人工时为 0；只计算在现有 frontend/backend/prisma/services 基础上的继续改造。</t>
  </si>
  <si>
    <t>范围</t>
  </si>
  <si>
    <t>仅 V0.1、V0.2、跨版本基础设施</t>
  </si>
  <si>
    <t>V0.3 暂不纳入人工时和预算。</t>
  </si>
  <si>
    <t>测试</t>
  </si>
  <si>
    <t>不包含</t>
  </si>
  <si>
    <t>本表只算开发，不含测试预算、正式 QA、长期云资源、法务、税费和公司管理费。</t>
  </si>
  <si>
    <t>开发综合单价</t>
  </si>
  <si>
    <t>元/人工时</t>
  </si>
  <si>
    <t>可调整；预算公式会联动。</t>
  </si>
  <si>
    <t>四人团队有效容量</t>
  </si>
  <si>
    <t>人工时/周</t>
  </si>
  <si>
    <t>按 4 人团队、AI 辅助开发、保留沟通和集成时间估算。</t>
  </si>
  <si>
    <t>前端增量点</t>
  </si>
  <si>
    <t>小时/点</t>
  </si>
  <si>
    <t>1 点约等于一个小页面/组件/状态流改造；是在现有 React Native/Expo 代码上继续改。</t>
  </si>
  <si>
    <t>后端增量点</t>
  </si>
  <si>
    <t>1 点约等于一个接口/服务方法/DTO/Prisma 小改造；不是新建完整模块。</t>
  </si>
  <si>
    <t>AI/数据增量点</t>
  </si>
  <si>
    <t>1 点约等于一个规则、提示词、字段映射、种子数据或模型调用小闭环。</t>
  </si>
  <si>
    <t>联调增量点</t>
  </si>
  <si>
    <t>1 点约等于一次前后端/模型/数据流的联调打通。</t>
  </si>
  <si>
    <t>AI辅助剩余系数</t>
  </si>
  <si>
    <t>0.50-0.65</t>
  </si>
  <si>
    <t>vibe coding 可压缩样板代码、DTO、UI 和规则代码；但不能完全替代产品判断、模型效果校准和联调。</t>
  </si>
  <si>
    <t>复杂度系数</t>
  </si>
  <si>
    <t>0.95-1.25</t>
  </si>
  <si>
    <t>低风险小改造低于 1；视觉/实时/模型效果不稳定项高于 1。</t>
  </si>
  <si>
    <t>人工时公式</t>
  </si>
  <si>
    <t>ROUND(原始小时 × AI辅助剩余系数 × 复杂度系数, 0)</t>
  </si>
  <si>
    <t>原始小时 = 前端点×4 + 后端点×4 + AI/数据点×5 + 联调点×3。</t>
  </si>
  <si>
    <t>预算公式</t>
  </si>
  <si>
    <t>增量人工时 × 开发综合单价 + 开发期外部预留</t>
  </si>
  <si>
    <t>外部预留只含开发期 API、素材、样例数据、联盟/渠道调试等小额费用。</t>
  </si>
  <si>
    <t>MIMU 基于现有代码库的增量开发预算汇总</t>
  </si>
  <si>
    <t>上线版本</t>
  </si>
  <si>
    <t>功能数</t>
  </si>
  <si>
    <t>平均当前基础复用度</t>
  </si>
  <si>
    <t>原始小时</t>
  </si>
  <si>
    <t>AI辅助后增量人工时</t>
  </si>
  <si>
    <t>AI辅助后压缩比例</t>
  </si>
  <si>
    <t>开发人力预算</t>
  </si>
  <si>
    <t>开发外部预留</t>
  </si>
  <si>
    <t>开发总预算</t>
  </si>
  <si>
    <t>4人团队折算周</t>
  </si>
  <si>
    <t>V0.1</t>
  </si>
  <si>
    <t>基于现有资产、社区、教练、导购雏形，主要是补闭环和联调。</t>
  </si>
  <si>
    <t>V0.2</t>
  </si>
  <si>
    <t>视觉/AI体验增强为主，保持人工确认和平替路线。</t>
  </si>
  <si>
    <t>跨版本基础设施</t>
  </si>
  <si>
    <t>统一埋点和匿名事件，支撑后续版本判断效果。</t>
  </si>
  <si>
    <t>合计</t>
  </si>
  <si>
    <t>不含测试，不含 V0.3。</t>
  </si>
  <si>
    <t>MIMU 未完成功能增量开发人工时明细</t>
  </si>
  <si>
    <t>估算基线：当前 MIMU 代码库已经存在的模块、页面、DTO、Prisma 模型和服务不再重复计费；下面只算继续把功能补齐所需的增量开发人工时。</t>
  </si>
  <si>
    <t>序号</t>
  </si>
  <si>
    <t>大类</t>
  </si>
  <si>
    <t>功能</t>
  </si>
  <si>
    <t>当前基础复用度</t>
  </si>
  <si>
    <t>当前已有基础（不重复计费）</t>
  </si>
  <si>
    <t>剩余增量目标</t>
  </si>
  <si>
    <t>增量人工时</t>
  </si>
  <si>
    <t>开发期外部预留</t>
  </si>
  <si>
    <t>估算过程</t>
  </si>
  <si>
    <t>技术路线/效果平衡</t>
  </si>
  <si>
    <t>高难点和平替</t>
  </si>
  <si>
    <t>备注</t>
  </si>
  <si>
    <t>美妆资产数字化 / 产品录入</t>
  </si>
  <si>
    <t>OCR（扫码、拍照、文字识别）</t>
  </si>
  <si>
    <t>已有 ProductIntakeModule、ProductScan、OCR provider、条码 provider、候选匹配、确认入库；前端已有 capture/intake-result/productIntakeService。</t>
  </si>
  <si>
    <t>把现有单品识别做稳定：外部 OCR/VLM 接入、外文包装字段抽取、反光/花体字提示、候选置信度展示；一图多品先做灰度入口。</t>
  </si>
  <si>
    <t>沿用现有 product-intake，不重写链路；条码优先，OCR/VLM 补充，人工确认兜底。一图多品只做候选区域和多 draft，不承诺高准确率。</t>
  </si>
  <si>
    <t>难点是反光瓶身、磨损标签和一图多品。平替：引导单品拍摄 + 手动确认，先保证录入闭环。</t>
  </si>
  <si>
    <t>开发口径，不含测试。</t>
  </si>
  <si>
    <t>化妆品数据库构建</t>
  </si>
  <si>
    <t>Prisma 已有 Product、ProductCatalogAsset、MatchRule、Source、Ingredient、ShelfLifeRule；商品、成分、保质期规则的主结构已在库里。</t>
  </si>
  <si>
    <t>补种子数据、导入脚本、字段复核流、别名/色号归一、演示高频 SKU 和用户确认数据回流。</t>
  </si>
  <si>
    <t>不做全球全量库；先做 200-500 个路演/内测高频 SKU，后续由用户确认和后台复核持续扩库。</t>
  </si>
  <si>
    <t>免费公开美妆库字段不完整。平替：自建种子库 + Open Beauty Facts 可用字段 + 人工复核。</t>
  </si>
  <si>
    <t>产品搜索</t>
  </si>
  <si>
    <t>已有 /products/search、前端 assets/search 页面、产品服务层和商品基础模型。</t>
  </si>
  <si>
    <t>补中文/英文/色号别名、模糊排序、空结果兜底、最近搜索/热门搜索和少量排序调参。</t>
  </si>
  <si>
    <t>优先用 ILIKE + pg_trgm + synonyms，不上复杂向量搜索；保持接口和前端轻量。</t>
  </si>
  <si>
    <t>中文分词和跨语种别名会影响召回。平替：先维护手工 synonyms，满足内测搜索。</t>
  </si>
  <si>
    <t>美妆资产数字化 / 保质期</t>
  </si>
  <si>
    <t>开封后保质期</t>
  </si>
  <si>
    <t>已有 UserProduct.isOpened/openedAt/customExpiresAt/expiresAt、ShelfLifeRule、Dashboard/Notifications 读取链路。</t>
  </si>
  <si>
    <t>补开封状态切换、PAO 月数编辑、规则缺失提示、提醒联动细节和前端状态文案。</t>
  </si>
  <si>
    <t>计算集中在 UserProductsService；customExpiresAt 永远优先，规则缺失时显示估算值。</t>
  </si>
  <si>
    <t>难度低。平替：缺官方 PAO 时用类别默认值，并明确标注估算。</t>
  </si>
  <si>
    <t>美妆资产数字化 / 余量分析</t>
  </si>
  <si>
    <t>AI跟妆图片捕捉</t>
  </si>
  <si>
    <t>已有 live-coach 页面、实时教练 WebSocket、截图/语音链路、RemainingAmountControl 和 usage profile。</t>
  </si>
  <si>
    <t>增加使用中拍照/低频帧捕捉、当前产品选择、包装 ROI 辅助、余量区间建议、用户确认后写入 usage record。</t>
  </si>
  <si>
    <t>只做视觉辅助，不承诺精确克数；结果必须经用户滑杆确认，作为 usage record 的低置信度来源。</t>
  </si>
  <si>
    <t>反光、遮挡、不可见内芯会让视觉余量不稳定。平替：相机识别产品 + 用户滑杆确认。</t>
  </si>
  <si>
    <t>自动计算消耗量</t>
  </si>
  <si>
    <t>已有 UserProductUsageProfile、UserProductUsageRecord、update usage-profile 接口、Vanity usage trends。</t>
  </si>
  <si>
    <t>把执行步骤和使用记录打通，按品类默认消耗扣减，补重复扣减保护、手动校准和低余量提醒。</t>
  </si>
  <si>
    <t>先用规则模型：品类默认消耗 + 执行完成扣减 + 用户校准；视觉识别只作为后续增强。</t>
  </si>
  <si>
    <t>准确消耗量不可保证。平替：估算可用天数 + 用户校准，保证体验可控。</t>
  </si>
  <si>
    <t>美妆资产数字化 / 成分</t>
  </si>
  <si>
    <t>个性化成分分析</t>
  </si>
  <si>
    <t>已有 IngredientsModule、ProductIngredient、IngredientAnalysis、产品成分接口、前端 ingredientService/useProductIngredientsQuery。</t>
  </si>
  <si>
    <t>补用户肤质/过敏偏好联动、成分风险规则扩充、产品对比、可读报告和合规提示。</t>
  </si>
  <si>
    <t>规则给结论，LLM 只负责改写说明；输出是风险提示和科普，不做医疗诊断。</t>
  </si>
  <si>
    <t>成分风险标签需要专业维护。平替：先做敏感肌/香精/致痘等基础规则。</t>
  </si>
  <si>
    <t>美妆资产数字化 / 化妆台</t>
  </si>
  <si>
    <t>化妆台展示</t>
  </si>
  <si>
    <t>已有 VanityModule、vanity overview、资产首页、使用趋势、补购卡片和产品图片能力。</t>
  </si>
  <si>
    <t>做 2D/2.5D 可拖拽化妆台、布局保存、主题皮肤、产品分类入口和图片适配。</t>
  </si>
  <si>
    <t>先做 React Native 2.5D 货架，不做真实 3D；数据结构预留未来 theme/layout 扩展。</t>
  </si>
  <si>
    <t>真 3D 和 IP 皮肤会显著增大成本。平替：可拖拽 2D/等距货架 + 多主题背景。</t>
  </si>
  <si>
    <t>用户画像</t>
  </si>
  <si>
    <t>用户基本信息 / 自拍肤质报告</t>
  </si>
  <si>
    <t>已有用户资料、UserConditionSnapshot、相机/上传模式、OpenAI-compatible 模型调用模式。</t>
  </si>
  <si>
    <t>补自拍引导、光线/遮挡校验、VLM 结构化输出、用户确认写入画像、推荐联动。</t>
  </si>
  <si>
    <t>问卷为主，图片为辅；模型只输出可见现象和置信度，用户可手动修改。</t>
  </si>
  <si>
    <t>单张自拍受光照、滤镜影响很大。平替：图片给提示，最终以用户确认画像为准。</t>
  </si>
  <si>
    <t>推荐与模板</t>
  </si>
  <si>
    <t>自定义模板库</t>
  </si>
  <si>
    <t>已有 MakeupTemplatesModule、GeneratedMakeupTemplate、create-template/edit-template 页面、TemplateEvent。</t>
  </si>
  <si>
    <t>补个人模板 CRUD、官方模板另存、收藏复制、分组排序、云端同步和图文拆步骤确认页。</t>
  </si>
  <si>
    <t>先保证手动编辑和云同步可靠；AI 拆步骤必须进入编辑确认页后落库。</t>
  </si>
  <si>
    <t>AI 自动拆步骤可能不稳。平替：官方模板另存 + 手动编辑先上线。</t>
  </si>
  <si>
    <t>AI化妆师</t>
  </si>
  <si>
    <t>AI化妆师实时跟妆 update</t>
  </si>
  <si>
    <t>已有 /makeup/coach、voice、WebSocket realtime、ASR、前端 coach/live-coach 和模板上下文。</t>
  </si>
  <si>
    <t>补意图识别、JSON Patch 修改模板、换色/加重/替换产品、反馈事件和回合制实时更新。</t>
  </si>
  <si>
    <t>不做每帧强实时纠错；先做语音/截图触发的回合制修改，模型返回 JSON Patch，经规则校验后更新方案。</t>
  </si>
  <si>
    <t>实时视觉纠错和多轮状态一致性难。平替：回合制修改 + 明确确认按钮。</t>
  </si>
  <si>
    <t>社区</t>
  </si>
  <si>
    <t>妆容社区互动 update</t>
  </si>
  <si>
    <t>已有 PostsModule、PostComment、PostReaction、community 页面、圈子选择组件、评论和点赞收藏。</t>
  </si>
  <si>
    <t>补圈子配置、热度排序、置顶、达人标识、内容状态和前端筛选细节。</t>
  </si>
  <si>
    <t>公式排序 + 手动置顶/达人标识，不做复杂推荐算法。</t>
  </si>
  <si>
    <t>社区推荐算法不是当前重点。平替：静态圈子 + 热度公式排序。</t>
  </si>
  <si>
    <t>产品使用分享</t>
  </si>
  <si>
    <t>已有社区发帖、产品资产选择、CollapsibleMakeupAssets、产品详情关联能力雏形。</t>
  </si>
  <si>
    <t>补 product_review 类型、产品绑定、评分标签、按产品/品类筛选和详情页关联帖子。</t>
  </si>
  <si>
    <t>作为普通帖子的一种扩展，不新建复杂社区系统。</t>
  </si>
  <si>
    <t>主要风险是信息架构。平替：普通帖子 + 产品 chips + 筛选。</t>
  </si>
  <si>
    <t>商业化</t>
  </si>
  <si>
    <t>商城搭建</t>
  </si>
  <si>
    <t>已有 RepurchaseCard、Vanity repurchaseSuggestions、补购提醒、资产低余量触发逻辑。</t>
  </si>
  <si>
    <t>补 ProductOffer/渠道链接/点击追踪/UTM 字段、外部跳转、失效兜底和推荐联动。</t>
  </si>
  <si>
    <t>先做导购跳转，不做支付、订单、售后；商品 offer 由精选链接或联盟 API 维护。</t>
  </si>
  <si>
    <t>电商 API 资质和佣金合规复杂。平替：精选购买链接 + 点击统计。</t>
  </si>
  <si>
    <t>数据基础设施</t>
  </si>
  <si>
    <t>用户使用数据收集</t>
  </si>
  <si>
    <t>已有 TemplateEvent、RequestLoggingMiddleware、部分业务事件和后端日志基础。</t>
  </si>
  <si>
    <t>补统一 track 封装、AnalyticsEvent/事件表、匿名 session、核心漏斗、CSV 导出和隐私字段拦截。</t>
  </si>
  <si>
    <t>先用 Postgres 事件表 + CSV 导出，不引入重型数仓；事件口径从 V0.1 开始统一。</t>
  </si>
  <si>
    <t>主要风险是隐私和事件口径治理。平替：只收匿名行为事件，不上传原始人脸、音频和图片。</t>
  </si>
  <si>
    <t>当前 MIMU 基础与剩余增量映射</t>
  </si>
  <si>
    <t>已有基础</t>
  </si>
  <si>
    <t>剩余增量</t>
  </si>
  <si>
    <t>为什么不是从零算</t>
  </si>
  <si>
    <t>已有代码、模型、页面、接口和数据结构不重复计费；只把仍需新增/改造/联调的动作折算为人工时。</t>
  </si>
  <si>
    <t>人工时估算模型说明</t>
  </si>
  <si>
    <t>字段</t>
  </si>
  <si>
    <t>含义</t>
  </si>
  <si>
    <t>怎么判断</t>
  </si>
  <si>
    <t>为什么适合当前 MIMU</t>
  </si>
  <si>
    <t>示例</t>
  </si>
  <si>
    <t>功能在当前代码库已有基础可复用的比例</t>
  </si>
  <si>
    <t>看是否已有页面、服务、模型、接口、数据表和可复用组件</t>
  </si>
  <si>
    <t>只解释估算，不直接进公式，避免把已完成工作再收费</t>
  </si>
  <si>
    <t>产品搜索已有页面和接口，所以复用度较高</t>
  </si>
  <si>
    <t>增量点</t>
  </si>
  <si>
    <t>剩余开发动作的颗粒度</t>
  </si>
  <si>
    <t>把剩余工作拆成页面/接口/规则/联调小块</t>
  </si>
  <si>
    <t>vibe coding 下，小块任务能被 AI 快速生成和修改</t>
  </si>
  <si>
    <t>一个前端点约一个小组件或状态流改造</t>
  </si>
  <si>
    <t>不考虑 AI 提效时的剩余开发小时</t>
  </si>
  <si>
    <t>按点数乘以口径小时</t>
  </si>
  <si>
    <t>让估算过程可检查、可改参数</t>
  </si>
  <si>
    <t>6*4+6*4+5*5+4*3=85h</t>
  </si>
  <si>
    <t>AI/vibe coding 后仍需人工投入的比例</t>
  </si>
  <si>
    <t>CRUD/UI/DTO 越多系数越低；模型效果和联调越多系数越高</t>
  </si>
  <si>
    <t>当前仓库已有模式，AI 可复用风格和样板，但仍需人判断效果</t>
  </si>
  <si>
    <t>社区小改 50%，视觉/教练 65%</t>
  </si>
  <si>
    <t>风险和不确定性修正</t>
  </si>
  <si>
    <t>视觉、实时、模型准确率高于 1；低风险小改低于或等于 1</t>
  </si>
  <si>
    <t>避免把高难 AI 功能估得过低</t>
  </si>
  <si>
    <t>AI跟妆图片捕捉为 1.25</t>
  </si>
  <si>
    <t>最终开发人工时</t>
  </si>
  <si>
    <t>ROUND(原始小时×AI辅助剩余系数×复杂度系数,0)</t>
  </si>
  <si>
    <t>符合“当前不开发=0，继续开发1小时=1人工时”的口径</t>
  </si>
  <si>
    <t>85×60%×1.15=59h</t>
  </si>
  <si>
    <t>开发期小额外部成本</t>
  </si>
  <si>
    <t>API、素材、样例、联盟/渠道调试等</t>
  </si>
  <si>
    <t>不是测试费，也不是长期运维费</t>
  </si>
  <si>
    <t>OCR/VLM 调试预留 3000 元</t>
  </si>
  <si>
    <t>测试和正式运营成本</t>
  </si>
  <si>
    <t>正式 QA、测试设备矩阵、长期云资源、法务/IP授权、税费、管理费</t>
  </si>
  <si>
    <t>用户本轮只要求单纯开发预算</t>
  </si>
  <si>
    <t>V0.3 也不纳入</t>
  </si>
  <si>
    <t>调整方式</t>
  </si>
  <si>
    <t>未来如何改表</t>
  </si>
  <si>
    <t>改估算口径 B5:B10、或改明细点数/系数</t>
  </si>
  <si>
    <t>公式会联动汇总</t>
  </si>
  <si>
    <t>如果 AI 提效更高，把 0.60 改成 0.50</t>
  </si>
  <si>
    <t>增量开发上线建议（不含测试）</t>
  </si>
  <si>
    <t>4人团队开发周</t>
  </si>
  <si>
    <t>建议节奏</t>
  </si>
  <si>
    <t>先做什么</t>
  </si>
  <si>
    <t>注意</t>
  </si>
  <si>
    <t>约 2-3 周开发窗口</t>
  </si>
  <si>
    <t>搜索/保质期/消耗/社区/导购/教练回合制修改</t>
  </si>
  <si>
    <t>这只是开发期，不含测试和验收。</t>
  </si>
  <si>
    <t>约 3-4 周开发窗口</t>
  </si>
  <si>
    <t>OCR增强、余量视觉辅助、成分、肤质报告、化妆台、自定义模板</t>
  </si>
  <si>
    <t>视觉和模型效果必须保留人工确认兜底。</t>
  </si>
  <si>
    <t>第 1 周并行做最小版</t>
  </si>
  <si>
    <t>track 封装、匿名事件、核心漏斗和 CSV 导出</t>
  </si>
  <si>
    <t>事件口径越早统一，后续越少返工。</t>
  </si>
  <si>
    <t>约 5-7 周开发窗口</t>
  </si>
  <si>
    <t>按依赖拆并行：后端/数据、前端页面、AI链路三条线</t>
  </si>
  <si>
    <t>4 人团队会被沟通、联调和上下文切换消耗，所以日历周不等于人工时直接相除。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</si>
</sst>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"/>
    <numFmt numFmtId="177" formatCode="0.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F8FB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1" fontId="0" fillId="0" borderId="0" xfId="1" applyNumberFormat="1" applyFont="1" applyAlignment="1">
      <alignment vertical="top" wrapText="1"/>
    </xf>
    <xf numFmtId="9" fontId="0" fillId="0" borderId="0" xfId="1" applyNumberFormat="1" applyFont="1" applyAlignment="1">
      <alignment vertical="top" wrapText="1"/>
    </xf>
    <xf numFmtId="176" fontId="0" fillId="0" borderId="0" xfId="1" applyNumberFormat="1" applyFont="1" applyAlignment="1">
      <alignment vertical="top" wrapText="1"/>
    </xf>
    <xf numFmtId="177" fontId="0" fillId="0" borderId="0" xfId="1" applyNumberFormat="1" applyFont="1" applyAlignment="1">
      <alignment vertical="top" wrapText="1"/>
    </xf>
    <xf numFmtId="0" fontId="3" fillId="4" borderId="0" xfId="1" applyFont="1" applyFill="1" applyAlignment="1">
      <alignment vertical="top" wrapText="1"/>
    </xf>
    <xf numFmtId="9" fontId="3" fillId="4" borderId="0" xfId="1" applyNumberFormat="1" applyFont="1" applyFill="1" applyAlignment="1">
      <alignment vertical="top" wrapText="1"/>
    </xf>
    <xf numFmtId="1" fontId="3" fillId="4" borderId="0" xfId="1" applyNumberFormat="1" applyFont="1" applyFill="1" applyAlignment="1">
      <alignment vertical="top" wrapText="1"/>
    </xf>
    <xf numFmtId="176" fontId="3" fillId="4" borderId="0" xfId="1" applyNumberFormat="1" applyFont="1" applyFill="1" applyAlignment="1">
      <alignment vertical="top" wrapText="1"/>
    </xf>
    <xf numFmtId="177" fontId="3" fillId="4" borderId="0" xfId="1" applyNumberFormat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9" fontId="0" fillId="6" borderId="0" xfId="1" applyNumberFormat="1" applyFont="1" applyFill="1" applyAlignment="1">
      <alignment vertical="top" wrapText="1"/>
    </xf>
    <xf numFmtId="177" fontId="0" fillId="6" borderId="0" xfId="1" applyNumberFormat="1" applyFont="1" applyFill="1" applyAlignment="1">
      <alignment vertical="top" wrapText="1"/>
    </xf>
    <xf numFmtId="2" fontId="0" fillId="6" borderId="0" xfId="1" applyNumberFormat="1" applyFont="1" applyFill="1" applyAlignment="1">
      <alignment vertical="top" wrapText="1"/>
    </xf>
    <xf numFmtId="1" fontId="0" fillId="6" borderId="0" xfId="1" applyNumberFormat="1" applyFont="1" applyFill="1" applyAlignment="1">
      <alignment vertical="top" wrapText="1"/>
    </xf>
    <xf numFmtId="176" fontId="0" fillId="6" borderId="0" xfId="1" applyNumberFormat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9" fontId="0" fillId="7" borderId="0" xfId="1" applyNumberFormat="1" applyFont="1" applyFill="1" applyAlignment="1">
      <alignment vertical="top" wrapText="1"/>
    </xf>
    <xf numFmtId="177" fontId="0" fillId="7" borderId="0" xfId="1" applyNumberFormat="1" applyFont="1" applyFill="1" applyAlignment="1">
      <alignment vertical="top" wrapText="1"/>
    </xf>
    <xf numFmtId="2" fontId="0" fillId="7" borderId="0" xfId="1" applyNumberFormat="1" applyFont="1" applyFill="1" applyAlignment="1">
      <alignment vertical="top" wrapText="1"/>
    </xf>
    <xf numFmtId="1" fontId="0" fillId="7" borderId="0" xfId="1" applyNumberFormat="1" applyFont="1" applyFill="1" applyAlignment="1">
      <alignment vertical="top" wrapText="1"/>
    </xf>
    <xf numFmtId="176" fontId="0" fillId="7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0" fillId="0" borderId="0" xfId="0"/>
    <xf numFmtId="0" fontId="0" fillId="5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各版本增量人工时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AI辅助后增量人工时</c:v>
          </c:tx>
          <c:invertIfNegative val="1"/>
          <c:cat>
            <c:strRef>
              <c:f>开发预算汇总!$M$4:$M$6</c:f>
              <c:strCache>
                <c:ptCount val="3"/>
                <c:pt idx="0">
                  <c:v>V0.1</c:v>
                </c:pt>
                <c:pt idx="1">
                  <c:v>V0.2</c:v>
                </c:pt>
                <c:pt idx="2">
                  <c:v>跨版本基础设施</c:v>
                </c:pt>
              </c:strCache>
            </c:strRef>
          </c:cat>
          <c:val>
            <c:numRef>
              <c:f>开发预算汇总!$N$4:$N$6</c:f>
              <c:numCache>
                <c:formatCode>General</c:formatCode>
                <c:ptCount val="3"/>
                <c:pt idx="0">
                  <c:v>172</c:v>
                </c:pt>
                <c:pt idx="1">
                  <c:v>285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7-4D0B-BAF7-AC546A3F1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umptionTable" displayName="AssumptionTable" ref="A3:D16">
  <tableColumns count="4">
    <tableColumn id="1" xr3:uid="{00000000-0010-0000-0000-000001000000}" name="项目"/>
    <tableColumn id="2" xr3:uid="{00000000-0010-0000-0000-000002000000}" name="值"/>
    <tableColumn id="3" xr3:uid="{00000000-0010-0000-0000-000003000000}" name="单位/口径"/>
    <tableColumn id="4" xr3:uid="{00000000-0010-0000-0000-000004000000}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crementalBudgetSummary" displayName="IncrementalBudgetSummary" ref="A3:K7">
  <tableColumns count="11">
    <tableColumn id="1" xr3:uid="{00000000-0010-0000-0100-000001000000}" name="上线版本"/>
    <tableColumn id="2" xr3:uid="{00000000-0010-0000-0100-000002000000}" name="功能数"/>
    <tableColumn id="3" xr3:uid="{00000000-0010-0000-0100-000003000000}" name="平均当前基础复用度"/>
    <tableColumn id="4" xr3:uid="{00000000-0010-0000-0100-000004000000}" name="原始小时"/>
    <tableColumn id="5" xr3:uid="{00000000-0010-0000-0100-000005000000}" name="AI辅助后增量人工时"/>
    <tableColumn id="6" xr3:uid="{00000000-0010-0000-0100-000006000000}" name="AI辅助后压缩比例"/>
    <tableColumn id="7" xr3:uid="{00000000-0010-0000-0100-000007000000}" name="开发人力预算"/>
    <tableColumn id="8" xr3:uid="{00000000-0010-0000-0100-000008000000}" name="开发外部预留"/>
    <tableColumn id="9" xr3:uid="{00000000-0010-0000-0100-000009000000}" name="开发总预算"/>
    <tableColumn id="10" xr3:uid="{00000000-0010-0000-0100-00000A000000}" name="4人团队折算周"/>
    <tableColumn id="11" xr3:uid="{00000000-0010-0000-0100-00000B000000}" name="说明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crementalHoursDetail" displayName="IncrementalHoursDetail" ref="A4:V19">
  <tableColumns count="22">
    <tableColumn id="1" xr3:uid="{00000000-0010-0000-0200-000001000000}" name="序号"/>
    <tableColumn id="2" xr3:uid="{00000000-0010-0000-0200-000002000000}" name="大类"/>
    <tableColumn id="3" xr3:uid="{00000000-0010-0000-0200-000003000000}" name="功能"/>
    <tableColumn id="4" xr3:uid="{00000000-0010-0000-0200-000004000000}" name="上线版本"/>
    <tableColumn id="5" xr3:uid="{00000000-0010-0000-0200-000005000000}" name="当前基础复用度"/>
    <tableColumn id="6" xr3:uid="{00000000-0010-0000-0200-000006000000}" name="当前已有基础（不重复计费）"/>
    <tableColumn id="7" xr3:uid="{00000000-0010-0000-0200-000007000000}" name="剩余增量目标"/>
    <tableColumn id="8" xr3:uid="{00000000-0010-0000-0200-000008000000}" name="前端增量点"/>
    <tableColumn id="9" xr3:uid="{00000000-0010-0000-0200-000009000000}" name="后端增量点"/>
    <tableColumn id="10" xr3:uid="{00000000-0010-0000-0200-00000A000000}" name="AI/数据增量点"/>
    <tableColumn id="11" xr3:uid="{00000000-0010-0000-0200-00000B000000}" name="联调增量点"/>
    <tableColumn id="12" xr3:uid="{00000000-0010-0000-0200-00000C000000}" name="原始小时"/>
    <tableColumn id="13" xr3:uid="{00000000-0010-0000-0200-00000D000000}" name="AI辅助剩余系数"/>
    <tableColumn id="14" xr3:uid="{00000000-0010-0000-0200-00000E000000}" name="复杂度系数"/>
    <tableColumn id="15" xr3:uid="{00000000-0010-0000-0200-00000F000000}" name="增量人工时"/>
    <tableColumn id="16" xr3:uid="{00000000-0010-0000-0200-000010000000}" name="开发人力预算"/>
    <tableColumn id="17" xr3:uid="{00000000-0010-0000-0200-000011000000}" name="开发期外部预留"/>
    <tableColumn id="18" xr3:uid="{00000000-0010-0000-0200-000012000000}" name="开发总预算"/>
    <tableColumn id="19" xr3:uid="{00000000-0010-0000-0200-000013000000}" name="估算过程"/>
    <tableColumn id="20" xr3:uid="{00000000-0010-0000-0200-000014000000}" name="技术路线/效果平衡"/>
    <tableColumn id="21" xr3:uid="{00000000-0010-0000-0200-000015000000}" name="高难点和平替"/>
    <tableColumn id="22" xr3:uid="{00000000-0010-0000-0200-000016000000}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urrentBaseMap" displayName="CurrentBaseMap" ref="A3:F18">
  <tableColumns count="6">
    <tableColumn id="1" xr3:uid="{00000000-0010-0000-0300-000001000000}" name="序号"/>
    <tableColumn id="2" xr3:uid="{00000000-0010-0000-0300-000002000000}" name="功能"/>
    <tableColumn id="3" xr3:uid="{00000000-0010-0000-0300-000003000000}" name="当前基础复用度"/>
    <tableColumn id="4" xr3:uid="{00000000-0010-0000-0300-000004000000}" name="已有基础"/>
    <tableColumn id="5" xr3:uid="{00000000-0010-0000-0300-000005000000}" name="剩余增量"/>
    <tableColumn id="6" xr3:uid="{00000000-0010-0000-0300-000006000000}" name="为什么不是从零算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stimateModel" displayName="EstimateModel" ref="A3:E12">
  <tableColumns count="5">
    <tableColumn id="1" xr3:uid="{00000000-0010-0000-0400-000001000000}" name="字段"/>
    <tableColumn id="2" xr3:uid="{00000000-0010-0000-0400-000002000000}" name="含义"/>
    <tableColumn id="3" xr3:uid="{00000000-0010-0000-0400-000003000000}" name="怎么判断"/>
    <tableColumn id="4" xr3:uid="{00000000-0010-0000-0400-000004000000}" name="为什么适合当前 MIMU"/>
    <tableColumn id="5" xr3:uid="{00000000-0010-0000-0400-000005000000}" name="示例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ersionAdvice" displayName="VersionAdvice" ref="A3:F7">
  <tableColumns count="6">
    <tableColumn id="1" xr3:uid="{00000000-0010-0000-0500-000001000000}" name="上线版本"/>
    <tableColumn id="2" xr3:uid="{00000000-0010-0000-0500-000002000000}" name="增量人工时"/>
    <tableColumn id="3" xr3:uid="{00000000-0010-0000-0500-000003000000}" name="4人团队开发周"/>
    <tableColumn id="4" xr3:uid="{00000000-0010-0000-0500-000004000000}" name="建议节奏"/>
    <tableColumn id="5" xr3:uid="{00000000-0010-0000-0500-000005000000}" name="先做什么"/>
    <tableColumn id="6" xr3:uid="{00000000-0010-0000-0500-000006000000}" name="注意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topLeftCell="A8" workbookViewId="0">
      <selection sqref="A1:D1"/>
    </sheetView>
  </sheetViews>
  <sheetFormatPr defaultRowHeight="14"/>
  <cols>
    <col min="1" max="2" width="22.1640625" customWidth="1"/>
    <col min="3" max="3" width="15.5" customWidth="1"/>
    <col min="4" max="4" width="96.25" customWidth="1"/>
  </cols>
  <sheetData>
    <row r="1" spans="1:4" ht="27" customHeight="1">
      <c r="A1" s="24" t="s">
        <v>0</v>
      </c>
      <c r="B1" s="25"/>
      <c r="C1" s="25"/>
      <c r="D1" s="25"/>
    </row>
    <row r="2" spans="1:4" ht="39" customHeight="1">
      <c r="A2" s="1"/>
      <c r="B2" s="1"/>
      <c r="C2" s="1"/>
      <c r="D2" s="1"/>
    </row>
    <row r="3" spans="1:4" ht="39" customHeight="1">
      <c r="A3" s="2" t="s">
        <v>1</v>
      </c>
      <c r="B3" s="2" t="s">
        <v>2</v>
      </c>
      <c r="C3" s="2" t="s">
        <v>3</v>
      </c>
      <c r="D3" s="2" t="s">
        <v>4</v>
      </c>
    </row>
    <row r="4" spans="1:4" ht="39" customHeight="1">
      <c r="A4" s="1" t="s">
        <v>5</v>
      </c>
      <c r="B4" s="1" t="s">
        <v>6</v>
      </c>
      <c r="C4" s="1"/>
      <c r="D4" s="1" t="s">
        <v>7</v>
      </c>
    </row>
    <row r="5" spans="1:4" ht="39" customHeight="1">
      <c r="A5" s="1" t="s">
        <v>8</v>
      </c>
      <c r="B5" s="1" t="s">
        <v>9</v>
      </c>
      <c r="C5" s="1"/>
      <c r="D5" s="1" t="s">
        <v>10</v>
      </c>
    </row>
    <row r="6" spans="1:4" ht="39" customHeight="1">
      <c r="A6" s="1" t="s">
        <v>11</v>
      </c>
      <c r="B6" s="1" t="s">
        <v>12</v>
      </c>
      <c r="C6" s="1"/>
      <c r="D6" s="1" t="s">
        <v>13</v>
      </c>
    </row>
    <row r="7" spans="1:4" ht="39" customHeight="1">
      <c r="A7" s="1" t="s">
        <v>14</v>
      </c>
      <c r="B7" s="3">
        <v>200</v>
      </c>
      <c r="C7" s="1" t="s">
        <v>15</v>
      </c>
      <c r="D7" s="1" t="s">
        <v>16</v>
      </c>
    </row>
    <row r="8" spans="1:4" ht="39" customHeight="1">
      <c r="A8" s="1" t="s">
        <v>17</v>
      </c>
      <c r="B8" s="3">
        <v>110</v>
      </c>
      <c r="C8" s="1" t="s">
        <v>18</v>
      </c>
      <c r="D8" s="1" t="s">
        <v>19</v>
      </c>
    </row>
    <row r="9" spans="1:4" ht="39" customHeight="1">
      <c r="A9" s="1" t="s">
        <v>20</v>
      </c>
      <c r="B9" s="3">
        <v>4</v>
      </c>
      <c r="C9" s="1" t="s">
        <v>21</v>
      </c>
      <c r="D9" s="1" t="s">
        <v>22</v>
      </c>
    </row>
    <row r="10" spans="1:4" ht="39" customHeight="1">
      <c r="A10" s="1" t="s">
        <v>23</v>
      </c>
      <c r="B10" s="3">
        <v>4</v>
      </c>
      <c r="C10" s="1" t="s">
        <v>21</v>
      </c>
      <c r="D10" s="1" t="s">
        <v>24</v>
      </c>
    </row>
    <row r="11" spans="1:4" ht="39" customHeight="1">
      <c r="A11" s="1" t="s">
        <v>25</v>
      </c>
      <c r="B11" s="3">
        <v>5</v>
      </c>
      <c r="C11" s="1" t="s">
        <v>21</v>
      </c>
      <c r="D11" s="1" t="s">
        <v>26</v>
      </c>
    </row>
    <row r="12" spans="1:4" ht="39" customHeight="1">
      <c r="A12" s="1" t="s">
        <v>27</v>
      </c>
      <c r="B12" s="3">
        <v>3</v>
      </c>
      <c r="C12" s="1" t="s">
        <v>21</v>
      </c>
      <c r="D12" s="1" t="s">
        <v>28</v>
      </c>
    </row>
    <row r="13" spans="1:4" ht="39" customHeight="1">
      <c r="A13" s="1" t="s">
        <v>29</v>
      </c>
      <c r="B13" s="1" t="s">
        <v>30</v>
      </c>
      <c r="C13" s="1"/>
      <c r="D13" s="1" t="s">
        <v>31</v>
      </c>
    </row>
    <row r="14" spans="1:4" ht="39" customHeight="1">
      <c r="A14" s="1" t="s">
        <v>32</v>
      </c>
      <c r="B14" s="1" t="s">
        <v>33</v>
      </c>
      <c r="C14" s="1"/>
      <c r="D14" s="1" t="s">
        <v>34</v>
      </c>
    </row>
    <row r="15" spans="1:4" ht="39" customHeight="1">
      <c r="A15" s="1" t="s">
        <v>35</v>
      </c>
      <c r="B15" s="1" t="s">
        <v>36</v>
      </c>
      <c r="C15" s="1"/>
      <c r="D15" s="1" t="s">
        <v>37</v>
      </c>
    </row>
    <row r="16" spans="1:4" ht="39" customHeight="1">
      <c r="A16" s="1" t="s">
        <v>38</v>
      </c>
      <c r="B16" s="1" t="s">
        <v>39</v>
      </c>
      <c r="C16" s="1"/>
      <c r="D16" s="1" t="s">
        <v>40</v>
      </c>
    </row>
  </sheetData>
  <mergeCells count="1">
    <mergeCell ref="A1:D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showGridLines="0" tabSelected="1" workbookViewId="0">
      <selection sqref="A1:K1"/>
    </sheetView>
  </sheetViews>
  <sheetFormatPr defaultRowHeight="14"/>
  <cols>
    <col min="1" max="1" width="19.5" customWidth="1"/>
    <col min="2" max="2" width="8.75" customWidth="1"/>
    <col min="3" max="3" width="16.1640625" customWidth="1"/>
    <col min="4" max="4" width="12.08203125" customWidth="1"/>
    <col min="5" max="5" width="17.5" customWidth="1"/>
    <col min="6" max="9" width="15.5" customWidth="1"/>
    <col min="10" max="10" width="14.1640625" customWidth="1"/>
    <col min="11" max="11" width="69.33203125" customWidth="1"/>
  </cols>
  <sheetData>
    <row r="1" spans="1:14" ht="27" customHeight="1">
      <c r="A1" s="26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4" ht="27" customHeight="1"/>
    <row r="3" spans="1:14" ht="43.5" customHeight="1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4</v>
      </c>
      <c r="M3" t="s">
        <v>42</v>
      </c>
      <c r="N3" t="s">
        <v>46</v>
      </c>
    </row>
    <row r="4" spans="1:14" ht="43.5" customHeight="1">
      <c r="A4" s="1" t="s">
        <v>52</v>
      </c>
      <c r="B4" s="1">
        <f>COUNTIF(增量工时明细!$D$5:$D$19,A4)</f>
        <v>8</v>
      </c>
      <c r="C4" s="4">
        <f>AVERAGEIF(增量工时明细!$D$5:$D$19,A4,增量工时明细!$E$5:$E$19)</f>
        <v>0.70625000000000004</v>
      </c>
      <c r="D4" s="3">
        <f>SUMIF(增量工时明细!$D$5:$D$19,A4,增量工时明细!$L$5:$L$19)</f>
        <v>284.5</v>
      </c>
      <c r="E4" s="3">
        <f>SUMIF(增量工时明细!$D$5:$D$19,A4,增量工时明细!$O$5:$O$19)</f>
        <v>172</v>
      </c>
      <c r="F4" s="4">
        <f>1-E4/D4</f>
        <v>0.39543057996485065</v>
      </c>
      <c r="G4" s="5">
        <f>SUMIF(增量工时明细!$D$5:$D$19,A4,增量工时明细!$P$5:$P$19)</f>
        <v>34400</v>
      </c>
      <c r="H4" s="5">
        <f>SUMIF(增量工时明细!$D$5:$D$19,A4,增量工时明细!$Q$5:$Q$19)</f>
        <v>11500</v>
      </c>
      <c r="I4" s="5">
        <f>SUMIF(增量工时明细!$D$5:$D$19,A4,增量工时明细!$R$5:$R$19)</f>
        <v>45900</v>
      </c>
      <c r="J4" s="6">
        <f>E4/估算口径!$B$8</f>
        <v>1.5636363636363637</v>
      </c>
      <c r="K4" s="1" t="s">
        <v>53</v>
      </c>
      <c r="M4" t="s">
        <v>52</v>
      </c>
      <c r="N4">
        <f>E4</f>
        <v>172</v>
      </c>
    </row>
    <row r="5" spans="1:14" ht="43.5" customHeight="1">
      <c r="A5" s="1" t="s">
        <v>54</v>
      </c>
      <c r="B5" s="1">
        <f>COUNTIF(增量工时明细!$D$5:$D$19,A5)</f>
        <v>6</v>
      </c>
      <c r="C5" s="4">
        <f>AVERAGEIF(增量工时明细!$D$5:$D$19,A5,增量工时明细!$E$5:$E$19)</f>
        <v>0.51666666666666672</v>
      </c>
      <c r="D5" s="3">
        <f>SUMIF(增量工时明细!$D$5:$D$19,A5,增量工时明细!$L$5:$L$19)</f>
        <v>413</v>
      </c>
      <c r="E5" s="3">
        <f>SUMIF(增量工时明细!$D$5:$D$19,A5,增量工时明细!$O$5:$O$19)</f>
        <v>285</v>
      </c>
      <c r="F5" s="4">
        <f>1-E5/D5</f>
        <v>0.30992736077481842</v>
      </c>
      <c r="G5" s="5">
        <f>SUMIF(增量工时明细!$D$5:$D$19,A5,增量工时明细!$P$5:$P$19)</f>
        <v>57000</v>
      </c>
      <c r="H5" s="5">
        <f>SUMIF(增量工时明细!$D$5:$D$19,A5,增量工时明细!$Q$5:$Q$19)</f>
        <v>17000</v>
      </c>
      <c r="I5" s="5">
        <f>SUMIF(增量工时明细!$D$5:$D$19,A5,增量工时明细!$R$5:$R$19)</f>
        <v>74000</v>
      </c>
      <c r="J5" s="6">
        <f>E5/估算口径!$B$8</f>
        <v>2.5909090909090908</v>
      </c>
      <c r="K5" s="1" t="s">
        <v>55</v>
      </c>
      <c r="M5" t="s">
        <v>54</v>
      </c>
      <c r="N5">
        <f>E5</f>
        <v>285</v>
      </c>
    </row>
    <row r="6" spans="1:14" ht="43.5" customHeight="1">
      <c r="A6" s="1" t="s">
        <v>56</v>
      </c>
      <c r="B6" s="1">
        <f>COUNTIF(增量工时明细!$D$5:$D$19,A6)</f>
        <v>1</v>
      </c>
      <c r="C6" s="4">
        <f>AVERAGEIF(增量工时明细!$D$5:$D$19,A6,增量工时明细!$E$5:$E$19)</f>
        <v>0.45</v>
      </c>
      <c r="D6" s="3">
        <f>SUMIF(增量工时明细!$D$5:$D$19,A6,增量工时明细!$L$5:$L$19)</f>
        <v>40</v>
      </c>
      <c r="E6" s="3">
        <f>SUMIF(增量工时明细!$D$5:$D$19,A6,增量工时明细!$O$5:$O$19)</f>
        <v>22</v>
      </c>
      <c r="F6" s="4">
        <f>1-E6/D6</f>
        <v>0.44999999999999996</v>
      </c>
      <c r="G6" s="5">
        <f>SUMIF(增量工时明细!$D$5:$D$19,A6,增量工时明细!$P$5:$P$19)</f>
        <v>4400</v>
      </c>
      <c r="H6" s="5">
        <f>SUMIF(增量工时明细!$D$5:$D$19,A6,增量工时明细!$Q$5:$Q$19)</f>
        <v>1000</v>
      </c>
      <c r="I6" s="5">
        <f>SUMIF(增量工时明细!$D$5:$D$19,A6,增量工时明细!$R$5:$R$19)</f>
        <v>5400</v>
      </c>
      <c r="J6" s="6">
        <f>E6/估算口径!$B$8</f>
        <v>0.2</v>
      </c>
      <c r="K6" s="1" t="s">
        <v>57</v>
      </c>
      <c r="M6" t="s">
        <v>56</v>
      </c>
      <c r="N6">
        <f>E6</f>
        <v>22</v>
      </c>
    </row>
    <row r="7" spans="1:14" ht="43.5" customHeight="1">
      <c r="A7" s="7" t="s">
        <v>58</v>
      </c>
      <c r="B7" s="7">
        <f>SUM(B4:B6)</f>
        <v>15</v>
      </c>
      <c r="C7" s="8">
        <f>AVERAGE(增量工时明细!E5:E19)</f>
        <v>0.6133333333333334</v>
      </c>
      <c r="D7" s="9">
        <f>SUM(D4:D6)</f>
        <v>737.5</v>
      </c>
      <c r="E7" s="9">
        <f>SUM(E4:E6)</f>
        <v>479</v>
      </c>
      <c r="F7" s="8">
        <f>1-E7/D7</f>
        <v>0.35050847457627121</v>
      </c>
      <c r="G7" s="10">
        <f>SUM(G4:G6)</f>
        <v>95800</v>
      </c>
      <c r="H7" s="10">
        <f>SUM(H4:H6)</f>
        <v>29500</v>
      </c>
      <c r="I7" s="10">
        <f>SUM(I4:I6)</f>
        <v>125300</v>
      </c>
      <c r="J7" s="11">
        <f>E7/估算口径!$B$8</f>
        <v>4.3545454545454545</v>
      </c>
      <c r="K7" s="7" t="s">
        <v>59</v>
      </c>
    </row>
  </sheetData>
  <mergeCells count="1">
    <mergeCell ref="A1:K1"/>
  </mergeCells>
  <phoneticPr fontId="5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"/>
  <sheetViews>
    <sheetView showGridLines="0" topLeftCell="K2" workbookViewId="0">
      <selection sqref="A1:V1"/>
    </sheetView>
  </sheetViews>
  <sheetFormatPr defaultRowHeight="14"/>
  <cols>
    <col min="1" max="1" width="6.58203125" customWidth="1"/>
    <col min="2" max="2" width="22.1640625" customWidth="1"/>
    <col min="3" max="3" width="31.6640625" customWidth="1"/>
    <col min="4" max="4" width="15.5" customWidth="1"/>
    <col min="5" max="5" width="12.08203125" customWidth="1"/>
    <col min="6" max="7" width="69.33203125" customWidth="1"/>
    <col min="8" max="9" width="9.83203125" customWidth="1"/>
    <col min="10" max="10" width="12.08203125" customWidth="1"/>
    <col min="11" max="11" width="9.83203125" customWidth="1"/>
    <col min="12" max="12" width="10.33203125" customWidth="1"/>
    <col min="13" max="13" width="13.4140625" customWidth="1"/>
    <col min="14" max="14" width="10.75" customWidth="1"/>
    <col min="15" max="15" width="11.4140625" customWidth="1"/>
    <col min="16" max="18" width="14.1640625" customWidth="1"/>
    <col min="19" max="19" width="55.83203125" customWidth="1"/>
    <col min="20" max="20" width="69.33203125" customWidth="1"/>
    <col min="21" max="21" width="55.83203125" customWidth="1"/>
    <col min="22" max="22" width="18.1640625" customWidth="1"/>
  </cols>
  <sheetData>
    <row r="1" spans="1:22" ht="27" customHeight="1">
      <c r="A1" s="26" t="s">
        <v>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>
      <c r="A2" s="28" t="s">
        <v>61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4" spans="1:22" ht="28">
      <c r="A4" s="2" t="s">
        <v>62</v>
      </c>
      <c r="B4" s="2" t="s">
        <v>63</v>
      </c>
      <c r="C4" s="2" t="s">
        <v>64</v>
      </c>
      <c r="D4" s="2" t="s">
        <v>42</v>
      </c>
      <c r="E4" s="2" t="s">
        <v>65</v>
      </c>
      <c r="F4" s="2" t="s">
        <v>66</v>
      </c>
      <c r="G4" s="2" t="s">
        <v>67</v>
      </c>
      <c r="H4" s="2" t="s">
        <v>20</v>
      </c>
      <c r="I4" s="2" t="s">
        <v>23</v>
      </c>
      <c r="J4" s="2" t="s">
        <v>25</v>
      </c>
      <c r="K4" s="2" t="s">
        <v>27</v>
      </c>
      <c r="L4" s="2" t="s">
        <v>45</v>
      </c>
      <c r="M4" s="2" t="s">
        <v>29</v>
      </c>
      <c r="N4" s="2" t="s">
        <v>32</v>
      </c>
      <c r="O4" s="2" t="s">
        <v>68</v>
      </c>
      <c r="P4" s="2" t="s">
        <v>48</v>
      </c>
      <c r="Q4" s="2" t="s">
        <v>69</v>
      </c>
      <c r="R4" s="2" t="s">
        <v>50</v>
      </c>
      <c r="S4" s="2" t="s">
        <v>70</v>
      </c>
      <c r="T4" s="2" t="s">
        <v>71</v>
      </c>
      <c r="U4" s="2" t="s">
        <v>72</v>
      </c>
      <c r="V4" s="2" t="s">
        <v>73</v>
      </c>
    </row>
    <row r="5" spans="1:22" ht="84" customHeight="1">
      <c r="A5" s="12">
        <v>1</v>
      </c>
      <c r="B5" s="12" t="s">
        <v>74</v>
      </c>
      <c r="C5" s="12" t="s">
        <v>75</v>
      </c>
      <c r="D5" s="12" t="s">
        <v>54</v>
      </c>
      <c r="E5" s="13">
        <v>0.65</v>
      </c>
      <c r="F5" s="12" t="s">
        <v>76</v>
      </c>
      <c r="G5" s="12" t="s">
        <v>77</v>
      </c>
      <c r="H5" s="14">
        <v>6</v>
      </c>
      <c r="I5" s="14">
        <v>6</v>
      </c>
      <c r="J5" s="14">
        <v>5</v>
      </c>
      <c r="K5" s="14">
        <v>4</v>
      </c>
      <c r="L5" s="14">
        <f>H5*估算口径!$B$9+I5*估算口径!$B$10+J5*估算口径!$B$11+K5*估算口径!$B$12</f>
        <v>85</v>
      </c>
      <c r="M5" s="13">
        <v>0.6</v>
      </c>
      <c r="N5" s="15">
        <v>1.1499999999999999</v>
      </c>
      <c r="O5" s="16">
        <f t="shared" ref="O5:O19" si="0">ROUND(L5*M5*N5,0)</f>
        <v>59</v>
      </c>
      <c r="P5" s="17">
        <f>O5*估算口径!$B$7</f>
        <v>11800</v>
      </c>
      <c r="Q5" s="17">
        <v>3000</v>
      </c>
      <c r="R5" s="17">
        <f t="shared" ref="R5:R19" si="1">P5+Q5</f>
        <v>14800</v>
      </c>
      <c r="S5" s="12" t="str">
        <f t="shared" ref="S5:S19" si="2">"原始="&amp;H5&amp;"*4+"&amp;I5&amp;"*4+"&amp;J5&amp;"*5+"&amp;K5&amp;"*3="&amp;TEXT(L5,"0.0")&amp;"h；AI辅助系数="&amp;TEXT(M5,"0%")&amp;"；复杂度="&amp;TEXT(N5,"0.00")&amp;"；增量="&amp;O5&amp;"h"</f>
        <v>原始=6*4+6*4+5*5+4*3=85.0h；AI辅助系数=60%；复杂度=1.15；增量=59h</v>
      </c>
      <c r="T5" s="12" t="s">
        <v>78</v>
      </c>
      <c r="U5" s="12" t="s">
        <v>79</v>
      </c>
      <c r="V5" s="12" t="s">
        <v>80</v>
      </c>
    </row>
    <row r="6" spans="1:22" ht="84" customHeight="1">
      <c r="A6" s="18">
        <v>2</v>
      </c>
      <c r="B6" s="18" t="s">
        <v>74</v>
      </c>
      <c r="C6" s="18" t="s">
        <v>81</v>
      </c>
      <c r="D6" s="18" t="s">
        <v>52</v>
      </c>
      <c r="E6" s="19">
        <v>0.72</v>
      </c>
      <c r="F6" s="18" t="s">
        <v>82</v>
      </c>
      <c r="G6" s="18" t="s">
        <v>83</v>
      </c>
      <c r="H6" s="20">
        <v>1</v>
      </c>
      <c r="I6" s="20">
        <v>4</v>
      </c>
      <c r="J6" s="20">
        <v>4</v>
      </c>
      <c r="K6" s="20">
        <v>2</v>
      </c>
      <c r="L6" s="20">
        <f>H6*估算口径!$B$9+I6*估算口径!$B$10+J6*估算口径!$B$11+K6*估算口径!$B$12</f>
        <v>46</v>
      </c>
      <c r="M6" s="19">
        <v>0.55000000000000004</v>
      </c>
      <c r="N6" s="21">
        <v>1.1000000000000001</v>
      </c>
      <c r="O6" s="22">
        <f t="shared" si="0"/>
        <v>28</v>
      </c>
      <c r="P6" s="23">
        <f>O6*估算口径!$B$7</f>
        <v>5600</v>
      </c>
      <c r="Q6" s="23">
        <v>3000</v>
      </c>
      <c r="R6" s="23">
        <f t="shared" si="1"/>
        <v>8600</v>
      </c>
      <c r="S6" s="18" t="str">
        <f t="shared" si="2"/>
        <v>原始=1*4+4*4+4*5+2*3=46.0h；AI辅助系数=55%；复杂度=1.10；增量=28h</v>
      </c>
      <c r="T6" s="18" t="s">
        <v>84</v>
      </c>
      <c r="U6" s="18" t="s">
        <v>85</v>
      </c>
      <c r="V6" s="18" t="s">
        <v>80</v>
      </c>
    </row>
    <row r="7" spans="1:22" ht="84" customHeight="1">
      <c r="A7" s="12">
        <v>3</v>
      </c>
      <c r="B7" s="12" t="s">
        <v>74</v>
      </c>
      <c r="C7" s="12" t="s">
        <v>86</v>
      </c>
      <c r="D7" s="12" t="s">
        <v>52</v>
      </c>
      <c r="E7" s="13">
        <v>0.78</v>
      </c>
      <c r="F7" s="12" t="s">
        <v>87</v>
      </c>
      <c r="G7" s="12" t="s">
        <v>88</v>
      </c>
      <c r="H7" s="14">
        <v>2</v>
      </c>
      <c r="I7" s="14">
        <v>3</v>
      </c>
      <c r="J7" s="14">
        <v>1</v>
      </c>
      <c r="K7" s="14">
        <v>1</v>
      </c>
      <c r="L7" s="14">
        <f>H7*估算口径!$B$9+I7*估算口径!$B$10+J7*估算口径!$B$11+K7*估算口径!$B$12</f>
        <v>28</v>
      </c>
      <c r="M7" s="13">
        <v>0.55000000000000004</v>
      </c>
      <c r="N7" s="15">
        <v>0.98</v>
      </c>
      <c r="O7" s="16">
        <f t="shared" si="0"/>
        <v>15</v>
      </c>
      <c r="P7" s="17">
        <f>O7*估算口径!$B$7</f>
        <v>3000</v>
      </c>
      <c r="Q7" s="17">
        <v>0</v>
      </c>
      <c r="R7" s="17">
        <f t="shared" si="1"/>
        <v>3000</v>
      </c>
      <c r="S7" s="12" t="str">
        <f t="shared" si="2"/>
        <v>原始=2*4+3*4+1*5+1*3=28.0h；AI辅助系数=55%；复杂度=0.98；增量=15h</v>
      </c>
      <c r="T7" s="12" t="s">
        <v>89</v>
      </c>
      <c r="U7" s="12" t="s">
        <v>90</v>
      </c>
      <c r="V7" s="12" t="s">
        <v>80</v>
      </c>
    </row>
    <row r="8" spans="1:22" ht="84" customHeight="1">
      <c r="A8" s="18">
        <v>4</v>
      </c>
      <c r="B8" s="18" t="s">
        <v>91</v>
      </c>
      <c r="C8" s="18" t="s">
        <v>92</v>
      </c>
      <c r="D8" s="18" t="s">
        <v>52</v>
      </c>
      <c r="E8" s="19">
        <v>0.85</v>
      </c>
      <c r="F8" s="18" t="s">
        <v>93</v>
      </c>
      <c r="G8" s="18" t="s">
        <v>94</v>
      </c>
      <c r="H8" s="20">
        <v>1</v>
      </c>
      <c r="I8" s="20">
        <v>1</v>
      </c>
      <c r="J8" s="20">
        <v>0.5</v>
      </c>
      <c r="K8" s="20">
        <v>1</v>
      </c>
      <c r="L8" s="20">
        <f>H8*估算口径!$B$9+I8*估算口径!$B$10+J8*估算口径!$B$11+K8*估算口径!$B$12</f>
        <v>13.5</v>
      </c>
      <c r="M8" s="19">
        <v>0.55000000000000004</v>
      </c>
      <c r="N8" s="21">
        <v>0.95</v>
      </c>
      <c r="O8" s="22">
        <f t="shared" si="0"/>
        <v>7</v>
      </c>
      <c r="P8" s="23">
        <f>O8*估算口径!$B$7</f>
        <v>1400</v>
      </c>
      <c r="Q8" s="23">
        <v>0</v>
      </c>
      <c r="R8" s="23">
        <f t="shared" si="1"/>
        <v>1400</v>
      </c>
      <c r="S8" s="18" t="str">
        <f t="shared" si="2"/>
        <v>原始=1*4+1*4+0.5*5+1*3=13.5h；AI辅助系数=55%；复杂度=0.95；增量=7h</v>
      </c>
      <c r="T8" s="18" t="s">
        <v>95</v>
      </c>
      <c r="U8" s="18" t="s">
        <v>96</v>
      </c>
      <c r="V8" s="18" t="s">
        <v>80</v>
      </c>
    </row>
    <row r="9" spans="1:22" ht="84" customHeight="1">
      <c r="A9" s="12">
        <v>5</v>
      </c>
      <c r="B9" s="12" t="s">
        <v>97</v>
      </c>
      <c r="C9" s="12" t="s">
        <v>98</v>
      </c>
      <c r="D9" s="12" t="s">
        <v>54</v>
      </c>
      <c r="E9" s="13">
        <v>0.35</v>
      </c>
      <c r="F9" s="12" t="s">
        <v>99</v>
      </c>
      <c r="G9" s="12" t="s">
        <v>100</v>
      </c>
      <c r="H9" s="14">
        <v>7</v>
      </c>
      <c r="I9" s="14">
        <v>4</v>
      </c>
      <c r="J9" s="14">
        <v>7</v>
      </c>
      <c r="K9" s="14">
        <v>4</v>
      </c>
      <c r="L9" s="14">
        <f>H9*估算口径!$B$9+I9*估算口径!$B$10+J9*估算口径!$B$11+K9*估算口径!$B$12</f>
        <v>91</v>
      </c>
      <c r="M9" s="13">
        <v>0.65</v>
      </c>
      <c r="N9" s="15">
        <v>1.25</v>
      </c>
      <c r="O9" s="16">
        <f t="shared" si="0"/>
        <v>74</v>
      </c>
      <c r="P9" s="17">
        <f>O9*估算口径!$B$7</f>
        <v>14800</v>
      </c>
      <c r="Q9" s="17">
        <v>4000</v>
      </c>
      <c r="R9" s="17">
        <f t="shared" si="1"/>
        <v>18800</v>
      </c>
      <c r="S9" s="12" t="str">
        <f t="shared" si="2"/>
        <v>原始=7*4+4*4+7*5+4*3=91.0h；AI辅助系数=65%；复杂度=1.25；增量=74h</v>
      </c>
      <c r="T9" s="12" t="s">
        <v>101</v>
      </c>
      <c r="U9" s="12" t="s">
        <v>102</v>
      </c>
      <c r="V9" s="12" t="s">
        <v>80</v>
      </c>
    </row>
    <row r="10" spans="1:22" ht="84" customHeight="1">
      <c r="A10" s="18">
        <v>6</v>
      </c>
      <c r="B10" s="18" t="s">
        <v>97</v>
      </c>
      <c r="C10" s="18" t="s">
        <v>103</v>
      </c>
      <c r="D10" s="18" t="s">
        <v>52</v>
      </c>
      <c r="E10" s="19">
        <v>0.7</v>
      </c>
      <c r="F10" s="18" t="s">
        <v>104</v>
      </c>
      <c r="G10" s="18" t="s">
        <v>105</v>
      </c>
      <c r="H10" s="20">
        <v>2</v>
      </c>
      <c r="I10" s="20">
        <v>3</v>
      </c>
      <c r="J10" s="20">
        <v>2</v>
      </c>
      <c r="K10" s="20">
        <v>2</v>
      </c>
      <c r="L10" s="20">
        <f>H10*估算口径!$B$9+I10*估算口径!$B$10+J10*估算口径!$B$11+K10*估算口径!$B$12</f>
        <v>36</v>
      </c>
      <c r="M10" s="19">
        <v>0.55000000000000004</v>
      </c>
      <c r="N10" s="21">
        <v>1</v>
      </c>
      <c r="O10" s="22">
        <f t="shared" si="0"/>
        <v>20</v>
      </c>
      <c r="P10" s="23">
        <f>O10*估算口径!$B$7</f>
        <v>4000</v>
      </c>
      <c r="Q10" s="23">
        <v>0</v>
      </c>
      <c r="R10" s="23">
        <f t="shared" si="1"/>
        <v>4000</v>
      </c>
      <c r="S10" s="18" t="str">
        <f t="shared" si="2"/>
        <v>原始=2*4+3*4+2*5+2*3=36.0h；AI辅助系数=55%；复杂度=1.00；增量=20h</v>
      </c>
      <c r="T10" s="18" t="s">
        <v>106</v>
      </c>
      <c r="U10" s="18" t="s">
        <v>107</v>
      </c>
      <c r="V10" s="18" t="s">
        <v>80</v>
      </c>
    </row>
    <row r="11" spans="1:22" ht="84" customHeight="1">
      <c r="A11" s="12">
        <v>7</v>
      </c>
      <c r="B11" s="12" t="s">
        <v>108</v>
      </c>
      <c r="C11" s="12" t="s">
        <v>109</v>
      </c>
      <c r="D11" s="12" t="s">
        <v>54</v>
      </c>
      <c r="E11" s="13">
        <v>0.6</v>
      </c>
      <c r="F11" s="12" t="s">
        <v>110</v>
      </c>
      <c r="G11" s="12" t="s">
        <v>111</v>
      </c>
      <c r="H11" s="14">
        <v>4</v>
      </c>
      <c r="I11" s="14">
        <v>3</v>
      </c>
      <c r="J11" s="14">
        <v>5</v>
      </c>
      <c r="K11" s="14">
        <v>2</v>
      </c>
      <c r="L11" s="14">
        <f>H11*估算口径!$B$9+I11*估算口径!$B$10+J11*估算口径!$B$11+K11*估算口径!$B$12</f>
        <v>59</v>
      </c>
      <c r="M11" s="13">
        <v>0.6</v>
      </c>
      <c r="N11" s="15">
        <v>1.1000000000000001</v>
      </c>
      <c r="O11" s="16">
        <f t="shared" si="0"/>
        <v>39</v>
      </c>
      <c r="P11" s="17">
        <f>O11*估算口径!$B$7</f>
        <v>7800</v>
      </c>
      <c r="Q11" s="17">
        <v>3000</v>
      </c>
      <c r="R11" s="17">
        <f t="shared" si="1"/>
        <v>10800</v>
      </c>
      <c r="S11" s="12" t="str">
        <f t="shared" si="2"/>
        <v>原始=4*4+3*4+5*5+2*3=59.0h；AI辅助系数=60%；复杂度=1.10；增量=39h</v>
      </c>
      <c r="T11" s="12" t="s">
        <v>112</v>
      </c>
      <c r="U11" s="12" t="s">
        <v>113</v>
      </c>
      <c r="V11" s="12" t="s">
        <v>80</v>
      </c>
    </row>
    <row r="12" spans="1:22" ht="84" customHeight="1">
      <c r="A12" s="18">
        <v>8</v>
      </c>
      <c r="B12" s="18" t="s">
        <v>114</v>
      </c>
      <c r="C12" s="18" t="s">
        <v>115</v>
      </c>
      <c r="D12" s="18" t="s">
        <v>54</v>
      </c>
      <c r="E12" s="19">
        <v>0.45</v>
      </c>
      <c r="F12" s="18" t="s">
        <v>116</v>
      </c>
      <c r="G12" s="18" t="s">
        <v>117</v>
      </c>
      <c r="H12" s="20">
        <v>8</v>
      </c>
      <c r="I12" s="20">
        <v>2</v>
      </c>
      <c r="J12" s="20">
        <v>2</v>
      </c>
      <c r="K12" s="20">
        <v>3</v>
      </c>
      <c r="L12" s="20">
        <f>H12*估算口径!$B$9+I12*估算口径!$B$10+J12*估算口径!$B$11+K12*估算口径!$B$12</f>
        <v>59</v>
      </c>
      <c r="M12" s="19">
        <v>0.55000000000000004</v>
      </c>
      <c r="N12" s="21">
        <v>1.05</v>
      </c>
      <c r="O12" s="22">
        <f t="shared" si="0"/>
        <v>34</v>
      </c>
      <c r="P12" s="23">
        <f>O12*估算口径!$B$7</f>
        <v>6800</v>
      </c>
      <c r="Q12" s="23">
        <v>2000</v>
      </c>
      <c r="R12" s="23">
        <f t="shared" si="1"/>
        <v>8800</v>
      </c>
      <c r="S12" s="18" t="str">
        <f t="shared" si="2"/>
        <v>原始=8*4+2*4+2*5+3*3=59.0h；AI辅助系数=55%；复杂度=1.05；增量=34h</v>
      </c>
      <c r="T12" s="18" t="s">
        <v>118</v>
      </c>
      <c r="U12" s="18" t="s">
        <v>119</v>
      </c>
      <c r="V12" s="18" t="s">
        <v>80</v>
      </c>
    </row>
    <row r="13" spans="1:22" ht="84" customHeight="1">
      <c r="A13" s="12">
        <v>9</v>
      </c>
      <c r="B13" s="12" t="s">
        <v>120</v>
      </c>
      <c r="C13" s="12" t="s">
        <v>121</v>
      </c>
      <c r="D13" s="12" t="s">
        <v>54</v>
      </c>
      <c r="E13" s="13">
        <v>0.4</v>
      </c>
      <c r="F13" s="12" t="s">
        <v>122</v>
      </c>
      <c r="G13" s="12" t="s">
        <v>123</v>
      </c>
      <c r="H13" s="14">
        <v>4</v>
      </c>
      <c r="I13" s="14">
        <v>4</v>
      </c>
      <c r="J13" s="14">
        <v>6</v>
      </c>
      <c r="K13" s="14">
        <v>3</v>
      </c>
      <c r="L13" s="14">
        <f>H13*估算口径!$B$9+I13*估算口径!$B$10+J13*估算口径!$B$11+K13*估算口径!$B$12</f>
        <v>71</v>
      </c>
      <c r="M13" s="13">
        <v>0.65</v>
      </c>
      <c r="N13" s="15">
        <v>1.1000000000000001</v>
      </c>
      <c r="O13" s="16">
        <f t="shared" si="0"/>
        <v>51</v>
      </c>
      <c r="P13" s="17">
        <f>O13*估算口径!$B$7</f>
        <v>10200</v>
      </c>
      <c r="Q13" s="17">
        <v>4000</v>
      </c>
      <c r="R13" s="17">
        <f t="shared" si="1"/>
        <v>14200</v>
      </c>
      <c r="S13" s="12" t="str">
        <f t="shared" si="2"/>
        <v>原始=4*4+4*4+6*5+3*3=71.0h；AI辅助系数=65%；复杂度=1.10；增量=51h</v>
      </c>
      <c r="T13" s="12" t="s">
        <v>124</v>
      </c>
      <c r="U13" s="12" t="s">
        <v>125</v>
      </c>
      <c r="V13" s="12" t="s">
        <v>80</v>
      </c>
    </row>
    <row r="14" spans="1:22" ht="84" customHeight="1">
      <c r="A14" s="18">
        <v>10</v>
      </c>
      <c r="B14" s="18" t="s">
        <v>126</v>
      </c>
      <c r="C14" s="18" t="s">
        <v>127</v>
      </c>
      <c r="D14" s="18" t="s">
        <v>54</v>
      </c>
      <c r="E14" s="19">
        <v>0.65</v>
      </c>
      <c r="F14" s="18" t="s">
        <v>128</v>
      </c>
      <c r="G14" s="18" t="s">
        <v>129</v>
      </c>
      <c r="H14" s="20">
        <v>4</v>
      </c>
      <c r="I14" s="20">
        <v>4</v>
      </c>
      <c r="J14" s="20">
        <v>2</v>
      </c>
      <c r="K14" s="20">
        <v>2</v>
      </c>
      <c r="L14" s="20">
        <f>H14*估算口径!$B$9+I14*估算口径!$B$10+J14*估算口径!$B$11+K14*估算口径!$B$12</f>
        <v>48</v>
      </c>
      <c r="M14" s="19">
        <v>0.55000000000000004</v>
      </c>
      <c r="N14" s="21">
        <v>1.05</v>
      </c>
      <c r="O14" s="22">
        <f t="shared" si="0"/>
        <v>28</v>
      </c>
      <c r="P14" s="23">
        <f>O14*估算口径!$B$7</f>
        <v>5600</v>
      </c>
      <c r="Q14" s="23">
        <v>1000</v>
      </c>
      <c r="R14" s="23">
        <f t="shared" si="1"/>
        <v>6600</v>
      </c>
      <c r="S14" s="18" t="str">
        <f t="shared" si="2"/>
        <v>原始=4*4+4*4+2*5+2*3=48.0h；AI辅助系数=55%；复杂度=1.05；增量=28h</v>
      </c>
      <c r="T14" s="18" t="s">
        <v>130</v>
      </c>
      <c r="U14" s="18" t="s">
        <v>131</v>
      </c>
      <c r="V14" s="18" t="s">
        <v>80</v>
      </c>
    </row>
    <row r="15" spans="1:22" ht="84" customHeight="1">
      <c r="A15" s="12">
        <v>14</v>
      </c>
      <c r="B15" s="12" t="s">
        <v>132</v>
      </c>
      <c r="C15" s="12" t="s">
        <v>133</v>
      </c>
      <c r="D15" s="12" t="s">
        <v>52</v>
      </c>
      <c r="E15" s="13">
        <v>0.7</v>
      </c>
      <c r="F15" s="12" t="s">
        <v>134</v>
      </c>
      <c r="G15" s="12" t="s">
        <v>135</v>
      </c>
      <c r="H15" s="14">
        <v>4</v>
      </c>
      <c r="I15" s="14">
        <v>4</v>
      </c>
      <c r="J15" s="14">
        <v>6</v>
      </c>
      <c r="K15" s="14">
        <v>4</v>
      </c>
      <c r="L15" s="14">
        <f>H15*估算口径!$B$9+I15*估算口径!$B$10+J15*估算口径!$B$11+K15*估算口径!$B$12</f>
        <v>74</v>
      </c>
      <c r="M15" s="13">
        <v>0.65</v>
      </c>
      <c r="N15" s="15">
        <v>1.1499999999999999</v>
      </c>
      <c r="O15" s="16">
        <f t="shared" si="0"/>
        <v>55</v>
      </c>
      <c r="P15" s="17">
        <f>O15*估算口径!$B$7</f>
        <v>11000</v>
      </c>
      <c r="Q15" s="17">
        <v>5000</v>
      </c>
      <c r="R15" s="17">
        <f t="shared" si="1"/>
        <v>16000</v>
      </c>
      <c r="S15" s="12" t="str">
        <f t="shared" si="2"/>
        <v>原始=4*4+4*4+6*5+4*3=74.0h；AI辅助系数=65%；复杂度=1.15；增量=55h</v>
      </c>
      <c r="T15" s="12" t="s">
        <v>136</v>
      </c>
      <c r="U15" s="12" t="s">
        <v>137</v>
      </c>
      <c r="V15" s="12" t="s">
        <v>80</v>
      </c>
    </row>
    <row r="16" spans="1:22" ht="84" customHeight="1">
      <c r="A16" s="18">
        <v>15</v>
      </c>
      <c r="B16" s="18" t="s">
        <v>138</v>
      </c>
      <c r="C16" s="18" t="s">
        <v>139</v>
      </c>
      <c r="D16" s="18" t="s">
        <v>52</v>
      </c>
      <c r="E16" s="19">
        <v>0.7</v>
      </c>
      <c r="F16" s="18" t="s">
        <v>140</v>
      </c>
      <c r="G16" s="18" t="s">
        <v>141</v>
      </c>
      <c r="H16" s="20">
        <v>3</v>
      </c>
      <c r="I16" s="20">
        <v>2</v>
      </c>
      <c r="J16" s="20">
        <v>1</v>
      </c>
      <c r="K16" s="20">
        <v>1</v>
      </c>
      <c r="L16" s="20">
        <f>H16*估算口径!$B$9+I16*估算口径!$B$10+J16*估算口径!$B$11+K16*估算口径!$B$12</f>
        <v>28</v>
      </c>
      <c r="M16" s="19">
        <v>0.5</v>
      </c>
      <c r="N16" s="21">
        <v>1</v>
      </c>
      <c r="O16" s="22">
        <f t="shared" si="0"/>
        <v>14</v>
      </c>
      <c r="P16" s="23">
        <f>O16*估算口径!$B$7</f>
        <v>2800</v>
      </c>
      <c r="Q16" s="23">
        <v>500</v>
      </c>
      <c r="R16" s="23">
        <f t="shared" si="1"/>
        <v>3300</v>
      </c>
      <c r="S16" s="18" t="str">
        <f t="shared" si="2"/>
        <v>原始=3*4+2*4+1*5+1*3=28.0h；AI辅助系数=50%；复杂度=1.00；增量=14h</v>
      </c>
      <c r="T16" s="18" t="s">
        <v>142</v>
      </c>
      <c r="U16" s="18" t="s">
        <v>143</v>
      </c>
      <c r="V16" s="18" t="s">
        <v>80</v>
      </c>
    </row>
    <row r="17" spans="1:22" ht="84" customHeight="1">
      <c r="A17" s="12">
        <v>16</v>
      </c>
      <c r="B17" s="12" t="s">
        <v>138</v>
      </c>
      <c r="C17" s="12" t="s">
        <v>144</v>
      </c>
      <c r="D17" s="12" t="s">
        <v>52</v>
      </c>
      <c r="E17" s="13">
        <v>0.65</v>
      </c>
      <c r="F17" s="12" t="s">
        <v>145</v>
      </c>
      <c r="G17" s="12" t="s">
        <v>146</v>
      </c>
      <c r="H17" s="14">
        <v>2</v>
      </c>
      <c r="I17" s="14">
        <v>2</v>
      </c>
      <c r="J17" s="14">
        <v>1</v>
      </c>
      <c r="K17" s="14">
        <v>1</v>
      </c>
      <c r="L17" s="14">
        <f>H17*估算口径!$B$9+I17*估算口径!$B$10+J17*估算口径!$B$11+K17*估算口径!$B$12</f>
        <v>24</v>
      </c>
      <c r="M17" s="13">
        <v>0.5</v>
      </c>
      <c r="N17" s="15">
        <v>1</v>
      </c>
      <c r="O17" s="16">
        <f t="shared" si="0"/>
        <v>12</v>
      </c>
      <c r="P17" s="17">
        <f>O17*估算口径!$B$7</f>
        <v>2400</v>
      </c>
      <c r="Q17" s="17">
        <v>0</v>
      </c>
      <c r="R17" s="17">
        <f t="shared" si="1"/>
        <v>2400</v>
      </c>
      <c r="S17" s="12" t="str">
        <f t="shared" si="2"/>
        <v>原始=2*4+2*4+1*5+1*3=24.0h；AI辅助系数=50%；复杂度=1.00；增量=12h</v>
      </c>
      <c r="T17" s="12" t="s">
        <v>147</v>
      </c>
      <c r="U17" s="12" t="s">
        <v>148</v>
      </c>
      <c r="V17" s="12" t="s">
        <v>80</v>
      </c>
    </row>
    <row r="18" spans="1:22" ht="84" customHeight="1">
      <c r="A18" s="18">
        <v>17</v>
      </c>
      <c r="B18" s="18" t="s">
        <v>149</v>
      </c>
      <c r="C18" s="18" t="s">
        <v>150</v>
      </c>
      <c r="D18" s="18" t="s">
        <v>52</v>
      </c>
      <c r="E18" s="19">
        <v>0.55000000000000004</v>
      </c>
      <c r="F18" s="18" t="s">
        <v>151</v>
      </c>
      <c r="G18" s="18" t="s">
        <v>152</v>
      </c>
      <c r="H18" s="20">
        <v>3</v>
      </c>
      <c r="I18" s="20">
        <v>3</v>
      </c>
      <c r="J18" s="20">
        <v>1</v>
      </c>
      <c r="K18" s="20">
        <v>2</v>
      </c>
      <c r="L18" s="20">
        <f>H18*估算口径!$B$9+I18*估算口径!$B$10+J18*估算口径!$B$11+K18*估算口径!$B$12</f>
        <v>35</v>
      </c>
      <c r="M18" s="19">
        <v>0.55000000000000004</v>
      </c>
      <c r="N18" s="21">
        <v>1.1000000000000001</v>
      </c>
      <c r="O18" s="22">
        <f t="shared" si="0"/>
        <v>21</v>
      </c>
      <c r="P18" s="23">
        <f>O18*估算口径!$B$7</f>
        <v>4200</v>
      </c>
      <c r="Q18" s="23">
        <v>3000</v>
      </c>
      <c r="R18" s="23">
        <f t="shared" si="1"/>
        <v>7200</v>
      </c>
      <c r="S18" s="18" t="str">
        <f t="shared" si="2"/>
        <v>原始=3*4+3*4+1*5+2*3=35.0h；AI辅助系数=55%；复杂度=1.10；增量=21h</v>
      </c>
      <c r="T18" s="18" t="s">
        <v>153</v>
      </c>
      <c r="U18" s="18" t="s">
        <v>154</v>
      </c>
      <c r="V18" s="18" t="s">
        <v>80</v>
      </c>
    </row>
    <row r="19" spans="1:22" ht="84" customHeight="1">
      <c r="A19" s="12">
        <v>18</v>
      </c>
      <c r="B19" s="12" t="s">
        <v>155</v>
      </c>
      <c r="C19" s="12" t="s">
        <v>156</v>
      </c>
      <c r="D19" s="12" t="s">
        <v>56</v>
      </c>
      <c r="E19" s="13">
        <v>0.45</v>
      </c>
      <c r="F19" s="12" t="s">
        <v>157</v>
      </c>
      <c r="G19" s="12" t="s">
        <v>158</v>
      </c>
      <c r="H19" s="14">
        <v>2</v>
      </c>
      <c r="I19" s="14">
        <v>4</v>
      </c>
      <c r="J19" s="14">
        <v>2</v>
      </c>
      <c r="K19" s="14">
        <v>2</v>
      </c>
      <c r="L19" s="14">
        <f>H19*估算口径!$B$9+I19*估算口径!$B$10+J19*估算口径!$B$11+K19*估算口径!$B$12</f>
        <v>40</v>
      </c>
      <c r="M19" s="13">
        <v>0.55000000000000004</v>
      </c>
      <c r="N19" s="15">
        <v>1</v>
      </c>
      <c r="O19" s="16">
        <f t="shared" si="0"/>
        <v>22</v>
      </c>
      <c r="P19" s="17">
        <f>O19*估算口径!$B$7</f>
        <v>4400</v>
      </c>
      <c r="Q19" s="17">
        <v>1000</v>
      </c>
      <c r="R19" s="17">
        <f t="shared" si="1"/>
        <v>5400</v>
      </c>
      <c r="S19" s="12" t="str">
        <f t="shared" si="2"/>
        <v>原始=2*4+4*4+2*5+2*3=40.0h；AI辅助系数=55%；复杂度=1.00；增量=22h</v>
      </c>
      <c r="T19" s="12" t="s">
        <v>159</v>
      </c>
      <c r="U19" s="12" t="s">
        <v>160</v>
      </c>
      <c r="V19" s="12" t="s">
        <v>80</v>
      </c>
    </row>
  </sheetData>
  <mergeCells count="2">
    <mergeCell ref="A1:V1"/>
    <mergeCell ref="A2:V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topLeftCell="A13" workbookViewId="0">
      <selection sqref="A1:F1"/>
    </sheetView>
  </sheetViews>
  <sheetFormatPr defaultRowHeight="14"/>
  <cols>
    <col min="1" max="1" width="6.58203125" customWidth="1"/>
    <col min="2" max="2" width="34.33203125" customWidth="1"/>
    <col min="3" max="3" width="12.75" customWidth="1"/>
    <col min="4" max="5" width="85.4140625" customWidth="1"/>
    <col min="6" max="6" width="47.75" customWidth="1"/>
  </cols>
  <sheetData>
    <row r="1" spans="1:6" ht="27" customHeight="1">
      <c r="A1" s="26" t="s">
        <v>161</v>
      </c>
      <c r="B1" s="27"/>
      <c r="C1" s="27"/>
      <c r="D1" s="27"/>
      <c r="E1" s="27"/>
      <c r="F1" s="27"/>
    </row>
    <row r="3" spans="1:6" ht="28">
      <c r="A3" s="2" t="s">
        <v>62</v>
      </c>
      <c r="B3" s="2" t="s">
        <v>64</v>
      </c>
      <c r="C3" s="2" t="s">
        <v>65</v>
      </c>
      <c r="D3" s="2" t="s">
        <v>162</v>
      </c>
      <c r="E3" s="2" t="s">
        <v>163</v>
      </c>
      <c r="F3" s="2" t="s">
        <v>164</v>
      </c>
    </row>
    <row r="4" spans="1:6" ht="72" customHeight="1">
      <c r="A4" s="12">
        <v>1</v>
      </c>
      <c r="B4" s="12" t="s">
        <v>75</v>
      </c>
      <c r="C4" s="13">
        <v>0.65</v>
      </c>
      <c r="D4" s="12" t="s">
        <v>76</v>
      </c>
      <c r="E4" s="12" t="s">
        <v>77</v>
      </c>
      <c r="F4" s="12" t="s">
        <v>165</v>
      </c>
    </row>
    <row r="5" spans="1:6" ht="72" customHeight="1">
      <c r="A5" s="18">
        <v>2</v>
      </c>
      <c r="B5" s="18" t="s">
        <v>81</v>
      </c>
      <c r="C5" s="19">
        <v>0.72</v>
      </c>
      <c r="D5" s="18" t="s">
        <v>82</v>
      </c>
      <c r="E5" s="18" t="s">
        <v>83</v>
      </c>
      <c r="F5" s="18" t="s">
        <v>165</v>
      </c>
    </row>
    <row r="6" spans="1:6" ht="72" customHeight="1">
      <c r="A6" s="12">
        <v>3</v>
      </c>
      <c r="B6" s="12" t="s">
        <v>86</v>
      </c>
      <c r="C6" s="13">
        <v>0.78</v>
      </c>
      <c r="D6" s="12" t="s">
        <v>87</v>
      </c>
      <c r="E6" s="12" t="s">
        <v>88</v>
      </c>
      <c r="F6" s="12" t="s">
        <v>165</v>
      </c>
    </row>
    <row r="7" spans="1:6" ht="72" customHeight="1">
      <c r="A7" s="18">
        <v>4</v>
      </c>
      <c r="B7" s="18" t="s">
        <v>92</v>
      </c>
      <c r="C7" s="19">
        <v>0.85</v>
      </c>
      <c r="D7" s="18" t="s">
        <v>93</v>
      </c>
      <c r="E7" s="18" t="s">
        <v>94</v>
      </c>
      <c r="F7" s="18" t="s">
        <v>165</v>
      </c>
    </row>
    <row r="8" spans="1:6" ht="72" customHeight="1">
      <c r="A8" s="12">
        <v>5</v>
      </c>
      <c r="B8" s="12" t="s">
        <v>98</v>
      </c>
      <c r="C8" s="13">
        <v>0.35</v>
      </c>
      <c r="D8" s="12" t="s">
        <v>99</v>
      </c>
      <c r="E8" s="12" t="s">
        <v>100</v>
      </c>
      <c r="F8" s="12" t="s">
        <v>165</v>
      </c>
    </row>
    <row r="9" spans="1:6" ht="72" customHeight="1">
      <c r="A9" s="18">
        <v>6</v>
      </c>
      <c r="B9" s="18" t="s">
        <v>103</v>
      </c>
      <c r="C9" s="19">
        <v>0.7</v>
      </c>
      <c r="D9" s="18" t="s">
        <v>104</v>
      </c>
      <c r="E9" s="18" t="s">
        <v>105</v>
      </c>
      <c r="F9" s="18" t="s">
        <v>165</v>
      </c>
    </row>
    <row r="10" spans="1:6" ht="72" customHeight="1">
      <c r="A10" s="12">
        <v>7</v>
      </c>
      <c r="B10" s="12" t="s">
        <v>109</v>
      </c>
      <c r="C10" s="13">
        <v>0.6</v>
      </c>
      <c r="D10" s="12" t="s">
        <v>110</v>
      </c>
      <c r="E10" s="12" t="s">
        <v>111</v>
      </c>
      <c r="F10" s="12" t="s">
        <v>165</v>
      </c>
    </row>
    <row r="11" spans="1:6" ht="72" customHeight="1">
      <c r="A11" s="18">
        <v>8</v>
      </c>
      <c r="B11" s="18" t="s">
        <v>115</v>
      </c>
      <c r="C11" s="19">
        <v>0.45</v>
      </c>
      <c r="D11" s="18" t="s">
        <v>116</v>
      </c>
      <c r="E11" s="18" t="s">
        <v>117</v>
      </c>
      <c r="F11" s="18" t="s">
        <v>165</v>
      </c>
    </row>
    <row r="12" spans="1:6" ht="72" customHeight="1">
      <c r="A12" s="12">
        <v>9</v>
      </c>
      <c r="B12" s="12" t="s">
        <v>121</v>
      </c>
      <c r="C12" s="13">
        <v>0.4</v>
      </c>
      <c r="D12" s="12" t="s">
        <v>122</v>
      </c>
      <c r="E12" s="12" t="s">
        <v>123</v>
      </c>
      <c r="F12" s="12" t="s">
        <v>165</v>
      </c>
    </row>
    <row r="13" spans="1:6" ht="72" customHeight="1">
      <c r="A13" s="18">
        <v>10</v>
      </c>
      <c r="B13" s="18" t="s">
        <v>127</v>
      </c>
      <c r="C13" s="19">
        <v>0.65</v>
      </c>
      <c r="D13" s="18" t="s">
        <v>128</v>
      </c>
      <c r="E13" s="18" t="s">
        <v>129</v>
      </c>
      <c r="F13" s="18" t="s">
        <v>165</v>
      </c>
    </row>
    <row r="14" spans="1:6" ht="72" customHeight="1">
      <c r="A14" s="12">
        <v>14</v>
      </c>
      <c r="B14" s="12" t="s">
        <v>133</v>
      </c>
      <c r="C14" s="13">
        <v>0.7</v>
      </c>
      <c r="D14" s="12" t="s">
        <v>134</v>
      </c>
      <c r="E14" s="12" t="s">
        <v>135</v>
      </c>
      <c r="F14" s="12" t="s">
        <v>165</v>
      </c>
    </row>
    <row r="15" spans="1:6" ht="72" customHeight="1">
      <c r="A15" s="18">
        <v>15</v>
      </c>
      <c r="B15" s="18" t="s">
        <v>139</v>
      </c>
      <c r="C15" s="19">
        <v>0.7</v>
      </c>
      <c r="D15" s="18" t="s">
        <v>140</v>
      </c>
      <c r="E15" s="18" t="s">
        <v>141</v>
      </c>
      <c r="F15" s="18" t="s">
        <v>165</v>
      </c>
    </row>
    <row r="16" spans="1:6" ht="72" customHeight="1">
      <c r="A16" s="12">
        <v>16</v>
      </c>
      <c r="B16" s="12" t="s">
        <v>144</v>
      </c>
      <c r="C16" s="13">
        <v>0.65</v>
      </c>
      <c r="D16" s="12" t="s">
        <v>145</v>
      </c>
      <c r="E16" s="12" t="s">
        <v>146</v>
      </c>
      <c r="F16" s="12" t="s">
        <v>165</v>
      </c>
    </row>
    <row r="17" spans="1:6" ht="72" customHeight="1">
      <c r="A17" s="18">
        <v>17</v>
      </c>
      <c r="B17" s="18" t="s">
        <v>150</v>
      </c>
      <c r="C17" s="19">
        <v>0.55000000000000004</v>
      </c>
      <c r="D17" s="18" t="s">
        <v>151</v>
      </c>
      <c r="E17" s="18" t="s">
        <v>152</v>
      </c>
      <c r="F17" s="18" t="s">
        <v>165</v>
      </c>
    </row>
    <row r="18" spans="1:6" ht="72" customHeight="1">
      <c r="A18" s="12">
        <v>18</v>
      </c>
      <c r="B18" s="12" t="s">
        <v>156</v>
      </c>
      <c r="C18" s="13">
        <v>0.45</v>
      </c>
      <c r="D18" s="12" t="s">
        <v>157</v>
      </c>
      <c r="E18" s="12" t="s">
        <v>158</v>
      </c>
      <c r="F18" s="12" t="s">
        <v>165</v>
      </c>
    </row>
  </sheetData>
  <mergeCells count="1">
    <mergeCell ref="A1:F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showGridLines="0" workbookViewId="0">
      <selection sqref="A1:E1"/>
    </sheetView>
  </sheetViews>
  <sheetFormatPr defaultRowHeight="14"/>
  <cols>
    <col min="1" max="1" width="19.5" customWidth="1"/>
    <col min="2" max="2" width="33" customWidth="1"/>
    <col min="3" max="3" width="50.5" customWidth="1"/>
    <col min="4" max="4" width="61.25" customWidth="1"/>
    <col min="5" max="5" width="42.4140625" customWidth="1"/>
  </cols>
  <sheetData>
    <row r="1" spans="1:5" ht="27" customHeight="1">
      <c r="A1" s="26" t="s">
        <v>166</v>
      </c>
      <c r="B1" s="27"/>
      <c r="C1" s="27"/>
      <c r="D1" s="27"/>
      <c r="E1" s="27"/>
    </row>
    <row r="2" spans="1:5" ht="27" customHeight="1"/>
    <row r="3" spans="1:5" ht="46.5" customHeight="1">
      <c r="A3" s="2" t="s">
        <v>167</v>
      </c>
      <c r="B3" s="2" t="s">
        <v>168</v>
      </c>
      <c r="C3" s="2" t="s">
        <v>169</v>
      </c>
      <c r="D3" s="2" t="s">
        <v>170</v>
      </c>
      <c r="E3" s="2" t="s">
        <v>171</v>
      </c>
    </row>
    <row r="4" spans="1:5" ht="46.5" customHeight="1">
      <c r="A4" s="1" t="s">
        <v>65</v>
      </c>
      <c r="B4" s="1" t="s">
        <v>172</v>
      </c>
      <c r="C4" s="1" t="s">
        <v>173</v>
      </c>
      <c r="D4" s="1" t="s">
        <v>174</v>
      </c>
      <c r="E4" s="1" t="s">
        <v>175</v>
      </c>
    </row>
    <row r="5" spans="1:5" ht="46.5" customHeight="1">
      <c r="A5" s="1" t="s">
        <v>176</v>
      </c>
      <c r="B5" s="1" t="s">
        <v>177</v>
      </c>
      <c r="C5" s="1" t="s">
        <v>178</v>
      </c>
      <c r="D5" s="1" t="s">
        <v>179</v>
      </c>
      <c r="E5" s="1" t="s">
        <v>180</v>
      </c>
    </row>
    <row r="6" spans="1:5" ht="46.5" customHeight="1">
      <c r="A6" s="1" t="s">
        <v>45</v>
      </c>
      <c r="B6" s="1" t="s">
        <v>181</v>
      </c>
      <c r="C6" s="1" t="s">
        <v>182</v>
      </c>
      <c r="D6" s="1" t="s">
        <v>183</v>
      </c>
      <c r="E6" s="1" t="s">
        <v>184</v>
      </c>
    </row>
    <row r="7" spans="1:5" ht="46.5" customHeight="1">
      <c r="A7" s="1" t="s">
        <v>29</v>
      </c>
      <c r="B7" s="1" t="s">
        <v>185</v>
      </c>
      <c r="C7" s="1" t="s">
        <v>186</v>
      </c>
      <c r="D7" s="1" t="s">
        <v>187</v>
      </c>
      <c r="E7" s="1" t="s">
        <v>188</v>
      </c>
    </row>
    <row r="8" spans="1:5" ht="46.5" customHeight="1">
      <c r="A8" s="1" t="s">
        <v>32</v>
      </c>
      <c r="B8" s="1" t="s">
        <v>189</v>
      </c>
      <c r="C8" s="1" t="s">
        <v>190</v>
      </c>
      <c r="D8" s="1" t="s">
        <v>191</v>
      </c>
      <c r="E8" s="1" t="s">
        <v>192</v>
      </c>
    </row>
    <row r="9" spans="1:5" ht="46.5" customHeight="1">
      <c r="A9" s="1" t="s">
        <v>68</v>
      </c>
      <c r="B9" s="1" t="s">
        <v>193</v>
      </c>
      <c r="C9" s="1" t="s">
        <v>194</v>
      </c>
      <c r="D9" s="1" t="s">
        <v>195</v>
      </c>
      <c r="E9" s="1" t="s">
        <v>196</v>
      </c>
    </row>
    <row r="10" spans="1:5" ht="46.5" customHeight="1">
      <c r="A10" s="1" t="s">
        <v>49</v>
      </c>
      <c r="B10" s="1" t="s">
        <v>197</v>
      </c>
      <c r="C10" s="1" t="s">
        <v>198</v>
      </c>
      <c r="D10" s="1" t="s">
        <v>199</v>
      </c>
      <c r="E10" s="1" t="s">
        <v>200</v>
      </c>
    </row>
    <row r="11" spans="1:5" ht="46.5" customHeight="1">
      <c r="A11" s="1" t="s">
        <v>12</v>
      </c>
      <c r="B11" s="1" t="s">
        <v>201</v>
      </c>
      <c r="C11" s="1" t="s">
        <v>202</v>
      </c>
      <c r="D11" s="1" t="s">
        <v>203</v>
      </c>
      <c r="E11" s="1" t="s">
        <v>204</v>
      </c>
    </row>
    <row r="12" spans="1:5" ht="46.5" customHeight="1">
      <c r="A12" s="1" t="s">
        <v>205</v>
      </c>
      <c r="B12" s="1" t="s">
        <v>206</v>
      </c>
      <c r="C12" s="1" t="s">
        <v>207</v>
      </c>
      <c r="D12" s="1" t="s">
        <v>208</v>
      </c>
      <c r="E12" s="1" t="s">
        <v>209</v>
      </c>
    </row>
  </sheetData>
  <mergeCells count="1">
    <mergeCell ref="A1:E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showGridLines="0" workbookViewId="0">
      <selection sqref="A1:F1"/>
    </sheetView>
  </sheetViews>
  <sheetFormatPr defaultRowHeight="14"/>
  <cols>
    <col min="1" max="1" width="18.1640625" customWidth="1"/>
    <col min="2" max="3" width="14.1640625" customWidth="1"/>
    <col min="4" max="4" width="28.9140625" customWidth="1"/>
    <col min="5" max="6" width="55.83203125" customWidth="1"/>
  </cols>
  <sheetData>
    <row r="1" spans="1:6" ht="27" customHeight="1">
      <c r="A1" s="26" t="s">
        <v>210</v>
      </c>
      <c r="B1" s="27"/>
      <c r="C1" s="27"/>
      <c r="D1" s="27"/>
      <c r="E1" s="27"/>
      <c r="F1" s="27"/>
    </row>
    <row r="2" spans="1:6" ht="27" customHeight="1"/>
    <row r="3" spans="1:6" ht="52.5" customHeight="1">
      <c r="A3" s="2" t="s">
        <v>42</v>
      </c>
      <c r="B3" s="2" t="s">
        <v>68</v>
      </c>
      <c r="C3" s="2" t="s">
        <v>211</v>
      </c>
      <c r="D3" s="2" t="s">
        <v>212</v>
      </c>
      <c r="E3" s="2" t="s">
        <v>213</v>
      </c>
      <c r="F3" s="2" t="s">
        <v>214</v>
      </c>
    </row>
    <row r="4" spans="1:6" ht="52.5" customHeight="1">
      <c r="A4" s="1" t="s">
        <v>52</v>
      </c>
      <c r="B4" s="3">
        <f>SUMIF(增量工时明细!$D$5:$D$19,A4,增量工时明细!$O$5:$O$19)</f>
        <v>172</v>
      </c>
      <c r="C4" s="6">
        <f>B4/估算口径!$B$8</f>
        <v>1.5636363636363637</v>
      </c>
      <c r="D4" s="1" t="s">
        <v>215</v>
      </c>
      <c r="E4" s="1" t="s">
        <v>216</v>
      </c>
      <c r="F4" s="1" t="s">
        <v>217</v>
      </c>
    </row>
    <row r="5" spans="1:6" ht="52.5" customHeight="1">
      <c r="A5" s="1" t="s">
        <v>54</v>
      </c>
      <c r="B5" s="3">
        <f>SUMIF(增量工时明细!$D$5:$D$19,A5,增量工时明细!$O$5:$O$19)</f>
        <v>285</v>
      </c>
      <c r="C5" s="6">
        <f>B5/估算口径!$B$8</f>
        <v>2.5909090909090908</v>
      </c>
      <c r="D5" s="1" t="s">
        <v>218</v>
      </c>
      <c r="E5" s="1" t="s">
        <v>219</v>
      </c>
      <c r="F5" s="1" t="s">
        <v>220</v>
      </c>
    </row>
    <row r="6" spans="1:6" ht="52.5" customHeight="1">
      <c r="A6" s="1" t="s">
        <v>56</v>
      </c>
      <c r="B6" s="3">
        <f>SUMIF(增量工时明细!$D$5:$D$19,A6,增量工时明细!$O$5:$O$19)</f>
        <v>22</v>
      </c>
      <c r="C6" s="6">
        <f>B6/估算口径!$B$8</f>
        <v>0.2</v>
      </c>
      <c r="D6" s="1" t="s">
        <v>221</v>
      </c>
      <c r="E6" s="1" t="s">
        <v>222</v>
      </c>
      <c r="F6" s="1" t="s">
        <v>223</v>
      </c>
    </row>
    <row r="7" spans="1:6" ht="52.5" customHeight="1">
      <c r="A7" s="7" t="s">
        <v>58</v>
      </c>
      <c r="B7" s="9">
        <f>SUM(B4:B6)</f>
        <v>479</v>
      </c>
      <c r="C7" s="11">
        <f>B7/估算口径!$B$8</f>
        <v>4.3545454545454545</v>
      </c>
      <c r="D7" s="7" t="s">
        <v>224</v>
      </c>
      <c r="E7" s="7" t="s">
        <v>225</v>
      </c>
      <c r="F7" s="7" t="s">
        <v>226</v>
      </c>
    </row>
  </sheetData>
  <mergeCells count="1">
    <mergeCell ref="A1:F1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估算口径</vt:lpstr>
      <vt:lpstr>开发预算汇总</vt:lpstr>
      <vt:lpstr>增量工时明细</vt:lpstr>
      <vt:lpstr>当前基础映射</vt:lpstr>
      <vt:lpstr>估算模型说明</vt:lpstr>
      <vt:lpstr>上线建议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天宇 马</cp:lastModifiedBy>
  <dcterms:modified xsi:type="dcterms:W3CDTF">2026-05-12T07:19:39Z</dcterms:modified>
</cp:coreProperties>
</file>